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<sst xmlns="http://schemas.openxmlformats.org/spreadsheetml/2006/main" count="62" uniqueCount="62">
  <si>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GAMING COMBO FEBRUARY SPECIALS</t>
  </si>
  <si>
    <t>PS 5 PRO 2TB</t>
  </si>
  <si>
    <t>12 MONTHS</t>
  </si>
  <si>
    <t>24 MONTHS</t>
  </si>
  <si>
    <t xml:space="preserve">ITEM NAME </t>
  </si>
  <si>
    <t>PRICE</t>
  </si>
  <si>
    <t>COMBO 1</t>
  </si>
  <si>
    <t>PS5 PRO + EXTRA CONTROLLER</t>
  </si>
  <si>
    <t>PS5 PRO 2TB</t>
  </si>
  <si>
    <t>COMBO 2</t>
  </si>
  <si>
    <t>PS5 PRO 2TB + CONTROLLER + PS5 CHARGING STATION</t>
  </si>
  <si>
    <t>PS5 DIGITAL</t>
  </si>
  <si>
    <t>COMBO 3</t>
  </si>
  <si>
    <t xml:space="preserve">PS5 PRO 2TB + CONTROLLER + PS5 CHARGING STATION + RACING WHEEL </t>
  </si>
  <si>
    <t>PS5 DISC EDITION</t>
  </si>
  <si>
    <t>COMBO 4</t>
  </si>
  <si>
    <t xml:space="preserve">PS5 PRO 2TB + CONTROLLER + PS5 CHARGING STATION + RACING WHEEL + GEAR SHIFTER </t>
  </si>
  <si>
    <t>XBOX X-SERIES</t>
  </si>
  <si>
    <t>COMBO 5</t>
  </si>
  <si>
    <t>G29  RACING WHEEL + GEAR SHIFTER</t>
  </si>
  <si>
    <t>XBOX S-SERIES</t>
  </si>
  <si>
    <t>COMBO 6</t>
  </si>
  <si>
    <t>PS5 PRO + EXTRA CONTROLLER + PS5 PORTAL</t>
  </si>
  <si>
    <t>PORTAL REMOTE</t>
  </si>
  <si>
    <t>COMBO 7</t>
  </si>
  <si>
    <t>PS5 PRO + PS5 PORTAL</t>
  </si>
  <si>
    <t xml:space="preserve">GEAR SHIFT </t>
  </si>
  <si>
    <t>G29 PS5</t>
  </si>
  <si>
    <t>PS 5 DISC</t>
  </si>
  <si>
    <t>CHARGING STATION</t>
  </si>
  <si>
    <t>PS5 DISC DRIVE</t>
  </si>
  <si>
    <t>COMBO 8</t>
  </si>
  <si>
    <t>PS5 DISC + CONTROLLER</t>
  </si>
  <si>
    <t xml:space="preserve"> PS5 CONTROLLER</t>
  </si>
  <si>
    <t>COMBO 9</t>
  </si>
  <si>
    <t xml:space="preserve">PS5 DISC + CONTROLLER + PS5 CHARGING STATION </t>
  </si>
  <si>
    <t>XBOX JOYSTICK</t>
  </si>
  <si>
    <t>COMBO 10</t>
  </si>
  <si>
    <t>PS5 DISC + CONTROLLER + PS5 CHARGING STATION + G29  WHEEL</t>
  </si>
  <si>
    <t>COMBO 11</t>
  </si>
  <si>
    <t xml:space="preserve">PS5 DISC + CONTROLLER + PS5 CHARGING STATION + G29  WHEEL + Gear Shifter </t>
  </si>
  <si>
    <t>COMBO 12</t>
  </si>
  <si>
    <t>PS5 DISC + CONTROLLER + PS5 PORTAL</t>
  </si>
  <si>
    <t>COMBO 13</t>
  </si>
  <si>
    <t>PS DISC + PS5 PORTAL</t>
  </si>
  <si>
    <t>PS 5 DIGITAL</t>
  </si>
  <si>
    <t>COMBO 14</t>
  </si>
  <si>
    <t>PS5 DIGITAL + EXTRA CONTROLLER</t>
  </si>
  <si>
    <t>COMBO 15</t>
  </si>
  <si>
    <t xml:space="preserve">PS5 DIGITAL + EXTRA CONTROLLER + PS5 CHARGING STATION </t>
  </si>
  <si>
    <t>COMBO 16</t>
  </si>
  <si>
    <t xml:space="preserve">PS5 DIGITAL + CONTROLLER + PS5 CHARGING STATION + G29 WHEEL </t>
  </si>
  <si>
    <t>COMBO 17</t>
  </si>
  <si>
    <t xml:space="preserve">PS5 DIGITAL + CONTROLLER + PS5 CHARGING STATION + G29 WHEEL + LOGITECH GEAR SHIFTER </t>
  </si>
  <si>
    <t>COMBO 18</t>
  </si>
  <si>
    <t>PS5 DIGITAL + EXTRA CONTROLLER + PS5 PORTAL</t>
  </si>
  <si>
    <t>COMBO 19</t>
  </si>
  <si>
    <t>PS5 DIGITAL + PORTAL</t>
  </si>
  <si>
    <t>COMBO 20</t>
  </si>
  <si>
    <t>XBOX X-SERIES 1TB + EXTRA CONTROLLER</t>
  </si>
  <si>
    <t>COMBO 21</t>
  </si>
  <si>
    <t>XBOX S-SERIES 1TB + EXTRA CPONTROLLER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</si>
</sst>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2"/>
      <color theme="1"/>
      <name val="Hiragino Kaku Gothic Pro W6"/>
      <charset val="134"/>
    </font>
    <font>
      <sz val="11"/>
      <color theme="1"/>
      <name val="Heiti TC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176" fontId="1" fillId="0" borderId="0" xfId="1" applyNumberFormat="1" applyFont="1">
      <alignment vertical="center"/>
    </xf>
    <xf numFmtId="176" fontId="1" fillId="0" borderId="0" xfId="1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abSelected="1" zoomScale="63" zoomScaleNormal="63" workbookViewId="0">
      <selection activeCell="Q26" sqref="Q26"/>
    </sheetView>
  </sheetViews>
  <sheetFormatPr defaultColWidth="9" defaultRowHeight="16.8"/>
  <cols>
    <col min="2" max="2" width="14.96875" customWidth="1"/>
    <col min="7" max="7" width="46.2578125" customWidth="1"/>
    <col min="8" max="8" width="13.9921875" customWidth="1"/>
    <col min="9" max="9" width="11.8125"/>
    <col min="10" max="10" width="14.9375" customWidth="1"/>
    <col min="15" max="15" width="18.359375" hidden="1" customWidth="1"/>
    <col min="16" max="16" width="13.421875" hidden="1" customWidth="1"/>
    <col min="20" max="20" width="28.609375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7.6" spans="1:14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</row>
    <row r="6" spans="1:17">
      <c r="A6" s="1"/>
      <c r="B6" s="3" t="s">
        <v>1</v>
      </c>
      <c r="C6" s="3"/>
      <c r="D6" s="3"/>
      <c r="E6" s="3"/>
      <c r="F6" s="3"/>
      <c r="G6" s="3"/>
      <c r="H6" s="3"/>
      <c r="I6" s="1" t="s">
        <v>2</v>
      </c>
      <c r="J6" s="1" t="s">
        <v>3</v>
      </c>
      <c r="K6" s="1"/>
      <c r="L6" s="1"/>
      <c r="M6" s="1"/>
      <c r="N6" s="1"/>
      <c r="O6" s="6"/>
      <c r="P6" s="6"/>
      <c r="Q6" s="6"/>
    </row>
    <row r="7" spans="1:17">
      <c r="A7" s="1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7" t="s">
        <v>4</v>
      </c>
      <c r="P7" s="7" t="s">
        <v>5</v>
      </c>
      <c r="Q7" s="6"/>
    </row>
    <row r="8" spans="1:17">
      <c r="A8" s="1"/>
      <c r="B8" s="3" t="s">
        <v>6</v>
      </c>
      <c r="C8" s="3" t="s">
        <v>7</v>
      </c>
      <c r="D8" s="3"/>
      <c r="E8" s="3"/>
      <c r="F8" s="3"/>
      <c r="G8" s="3"/>
      <c r="H8" s="3">
        <f>SUM(P8+P18)</f>
        <v>19074</v>
      </c>
      <c r="I8" s="4">
        <f>PMT(16.8%/12,12,-H8)</f>
        <v>1737.82957337314</v>
      </c>
      <c r="J8" s="5">
        <f>PMT(16.8%/12,24,-H8)</f>
        <v>941.229769894534</v>
      </c>
      <c r="K8" s="1"/>
      <c r="L8" s="1"/>
      <c r="M8" s="1"/>
      <c r="N8" s="1"/>
      <c r="O8" s="6" t="s">
        <v>8</v>
      </c>
      <c r="P8" s="6">
        <v>17999</v>
      </c>
      <c r="Q8" s="6"/>
    </row>
    <row r="9" spans="1:17">
      <c r="A9" s="1"/>
      <c r="B9" s="3" t="s">
        <v>9</v>
      </c>
      <c r="C9" s="3" t="s">
        <v>10</v>
      </c>
      <c r="D9" s="3"/>
      <c r="E9" s="3"/>
      <c r="F9" s="3"/>
      <c r="G9" s="3"/>
      <c r="H9" s="3">
        <f>SUM(H8+P16)</f>
        <v>19509</v>
      </c>
      <c r="I9" s="4">
        <f t="shared" ref="I9:I38" si="0">PMT(16.8%/12,12,-H9)</f>
        <v>1777.46236483887</v>
      </c>
      <c r="J9" s="5">
        <f t="shared" ref="J9:J39" si="1">PMT(16.8%/12,24,-H9)</f>
        <v>962.695374901566</v>
      </c>
      <c r="K9" s="1"/>
      <c r="L9" s="1"/>
      <c r="M9" s="1"/>
      <c r="N9" s="1"/>
      <c r="O9" s="6" t="s">
        <v>11</v>
      </c>
      <c r="P9" s="6">
        <v>11999</v>
      </c>
      <c r="Q9" s="6"/>
    </row>
    <row r="10" spans="1:17">
      <c r="A10" s="1"/>
      <c r="B10" s="3" t="s">
        <v>12</v>
      </c>
      <c r="C10" s="3" t="s">
        <v>13</v>
      </c>
      <c r="D10" s="3"/>
      <c r="E10" s="3"/>
      <c r="F10" s="3"/>
      <c r="G10" s="3"/>
      <c r="H10" s="3">
        <f>SUM(H9+P15)</f>
        <v>25508</v>
      </c>
      <c r="I10" s="4">
        <f t="shared" si="0"/>
        <v>2324.03044760418</v>
      </c>
      <c r="J10" s="5">
        <f t="shared" si="1"/>
        <v>1258.72333912497</v>
      </c>
      <c r="K10" s="1"/>
      <c r="L10" s="1"/>
      <c r="M10" s="1"/>
      <c r="N10" s="1"/>
      <c r="O10" s="6" t="s">
        <v>14</v>
      </c>
      <c r="P10" s="6">
        <v>12999</v>
      </c>
      <c r="Q10" s="6"/>
    </row>
    <row r="11" spans="1:17">
      <c r="A11" s="1"/>
      <c r="B11" s="3" t="s">
        <v>15</v>
      </c>
      <c r="C11" s="3" t="s">
        <v>16</v>
      </c>
      <c r="D11" s="3"/>
      <c r="E11" s="3"/>
      <c r="F11" s="3"/>
      <c r="G11" s="3"/>
      <c r="H11" s="3">
        <f>SUM(H10+P14)</f>
        <v>26308</v>
      </c>
      <c r="I11" s="4">
        <f t="shared" si="0"/>
        <v>2396.91833995495</v>
      </c>
      <c r="J11" s="5">
        <f t="shared" si="1"/>
        <v>1298.20031385055</v>
      </c>
      <c r="K11" s="1"/>
      <c r="L11" s="1"/>
      <c r="M11" s="1"/>
      <c r="N11" s="1"/>
      <c r="O11" s="6" t="s">
        <v>17</v>
      </c>
      <c r="P11" s="6">
        <v>15999</v>
      </c>
      <c r="Q11" s="6"/>
    </row>
    <row r="12" spans="1:17">
      <c r="A12" s="1"/>
      <c r="B12" s="3" t="s">
        <v>18</v>
      </c>
      <c r="C12" s="3" t="s">
        <v>19</v>
      </c>
      <c r="D12" s="3"/>
      <c r="E12" s="3"/>
      <c r="F12" s="3"/>
      <c r="G12" s="3"/>
      <c r="H12" s="3">
        <f>SUM(P14+P15)</f>
        <v>6799</v>
      </c>
      <c r="I12" s="4">
        <f t="shared" si="0"/>
        <v>619.455975116075</v>
      </c>
      <c r="J12" s="5">
        <f t="shared" si="1"/>
        <v>335.504938948985</v>
      </c>
      <c r="K12" s="1"/>
      <c r="L12" s="1"/>
      <c r="M12" s="1"/>
      <c r="N12" s="1"/>
      <c r="O12" s="6" t="s">
        <v>20</v>
      </c>
      <c r="P12" s="6">
        <v>11999</v>
      </c>
      <c r="Q12" s="6"/>
    </row>
    <row r="13" spans="1:17">
      <c r="A13" s="1"/>
      <c r="B13" s="3" t="s">
        <v>21</v>
      </c>
      <c r="C13" s="3" t="s">
        <v>22</v>
      </c>
      <c r="D13" s="3"/>
      <c r="E13" s="3"/>
      <c r="F13" s="3"/>
      <c r="G13" s="3"/>
      <c r="H13" s="3">
        <f>SUM(H8+P13)</f>
        <v>24073</v>
      </c>
      <c r="I13" s="4">
        <f t="shared" si="0"/>
        <v>2193.28779069999</v>
      </c>
      <c r="J13" s="5">
        <f t="shared" si="1"/>
        <v>1187.91151571097</v>
      </c>
      <c r="K13" s="1"/>
      <c r="L13" s="1"/>
      <c r="M13" s="1"/>
      <c r="N13" s="1"/>
      <c r="O13" s="6" t="s">
        <v>23</v>
      </c>
      <c r="P13" s="6">
        <v>4999</v>
      </c>
      <c r="Q13" s="6"/>
    </row>
    <row r="14" spans="1:17">
      <c r="A14" s="1"/>
      <c r="B14" s="3" t="s">
        <v>24</v>
      </c>
      <c r="C14" s="3" t="s">
        <v>25</v>
      </c>
      <c r="D14" s="3"/>
      <c r="E14" s="3"/>
      <c r="F14" s="3"/>
      <c r="G14" s="3"/>
      <c r="H14" s="3">
        <f>SUM(P8+P13)</f>
        <v>22998</v>
      </c>
      <c r="I14" s="4">
        <f t="shared" si="0"/>
        <v>2095.34468535365</v>
      </c>
      <c r="J14" s="5">
        <f t="shared" si="1"/>
        <v>1134.86433092348</v>
      </c>
      <c r="K14" s="1"/>
      <c r="L14" s="1"/>
      <c r="M14" s="1"/>
      <c r="N14" s="1"/>
      <c r="O14" s="6" t="s">
        <v>26</v>
      </c>
      <c r="P14" s="6">
        <v>800</v>
      </c>
      <c r="Q14" s="6"/>
    </row>
    <row r="15" spans="1:17">
      <c r="A15" s="1"/>
      <c r="B15" s="3"/>
      <c r="C15" s="3"/>
      <c r="D15" s="3"/>
      <c r="E15" s="3"/>
      <c r="F15" s="3"/>
      <c r="G15" s="3"/>
      <c r="H15" s="3"/>
      <c r="I15" s="4">
        <f t="shared" si="0"/>
        <v>0</v>
      </c>
      <c r="J15" s="5">
        <f t="shared" si="1"/>
        <v>0</v>
      </c>
      <c r="K15" s="1"/>
      <c r="L15" s="1"/>
      <c r="M15" s="1"/>
      <c r="N15" s="1"/>
      <c r="O15" s="6" t="s">
        <v>27</v>
      </c>
      <c r="P15" s="6">
        <v>5999</v>
      </c>
      <c r="Q15" s="6"/>
    </row>
    <row r="16" spans="1:17">
      <c r="A16" s="1"/>
      <c r="B16" s="3" t="s">
        <v>28</v>
      </c>
      <c r="C16" s="3"/>
      <c r="D16" s="3"/>
      <c r="E16" s="3"/>
      <c r="F16" s="3"/>
      <c r="G16" s="3"/>
      <c r="H16" s="3"/>
      <c r="I16" s="4">
        <f t="shared" si="0"/>
        <v>0</v>
      </c>
      <c r="J16" s="5">
        <f t="shared" si="1"/>
        <v>0</v>
      </c>
      <c r="K16" s="1"/>
      <c r="L16" s="1"/>
      <c r="M16" s="1"/>
      <c r="N16" s="1"/>
      <c r="O16" s="6" t="s">
        <v>29</v>
      </c>
      <c r="P16" s="6">
        <v>435</v>
      </c>
      <c r="Q16" s="6"/>
    </row>
    <row r="17" spans="1:17">
      <c r="A17" s="1"/>
      <c r="B17" s="3"/>
      <c r="C17" s="3"/>
      <c r="D17" s="3"/>
      <c r="E17" s="3"/>
      <c r="F17" s="3"/>
      <c r="G17" s="3"/>
      <c r="H17" s="3"/>
      <c r="I17" s="4">
        <f t="shared" si="0"/>
        <v>0</v>
      </c>
      <c r="J17" s="5">
        <f t="shared" si="1"/>
        <v>0</v>
      </c>
      <c r="K17" s="1"/>
      <c r="L17" s="1"/>
      <c r="M17" s="1"/>
      <c r="N17" s="1"/>
      <c r="O17" s="6" t="s">
        <v>30</v>
      </c>
      <c r="P17" s="6"/>
      <c r="Q17" s="6"/>
    </row>
    <row r="18" spans="1:17">
      <c r="A18" s="1"/>
      <c r="B18" s="3" t="s">
        <v>31</v>
      </c>
      <c r="C18" s="3" t="s">
        <v>32</v>
      </c>
      <c r="D18" s="3"/>
      <c r="E18" s="3"/>
      <c r="F18" s="3"/>
      <c r="G18" s="3"/>
      <c r="H18" s="3">
        <f>SUM(P10+P18)</f>
        <v>14074</v>
      </c>
      <c r="I18" s="4">
        <f t="shared" si="0"/>
        <v>1282.28024618086</v>
      </c>
      <c r="J18" s="5">
        <f t="shared" si="1"/>
        <v>694.498677859687</v>
      </c>
      <c r="K18" s="1"/>
      <c r="L18" s="1"/>
      <c r="M18" s="1"/>
      <c r="N18" s="1"/>
      <c r="O18" s="6" t="s">
        <v>33</v>
      </c>
      <c r="P18" s="6">
        <v>1075</v>
      </c>
      <c r="Q18" s="6"/>
    </row>
    <row r="19" spans="1:17">
      <c r="A19" s="1"/>
      <c r="B19" s="3" t="s">
        <v>34</v>
      </c>
      <c r="C19" s="3" t="s">
        <v>35</v>
      </c>
      <c r="D19" s="3"/>
      <c r="E19" s="3"/>
      <c r="F19" s="3"/>
      <c r="G19" s="3"/>
      <c r="H19" s="3">
        <f>SUM(H18+P16)</f>
        <v>14509</v>
      </c>
      <c r="I19" s="4">
        <f t="shared" si="0"/>
        <v>1321.91303764658</v>
      </c>
      <c r="J19" s="5">
        <f t="shared" si="1"/>
        <v>715.964282866719</v>
      </c>
      <c r="K19" s="1"/>
      <c r="L19" s="1"/>
      <c r="M19" s="1"/>
      <c r="N19" s="1"/>
      <c r="O19" s="6" t="s">
        <v>36</v>
      </c>
      <c r="P19" s="6">
        <v>800</v>
      </c>
      <c r="Q19" s="6"/>
    </row>
    <row r="20" spans="1:17">
      <c r="A20" s="1"/>
      <c r="B20" s="3" t="s">
        <v>37</v>
      </c>
      <c r="C20" s="3" t="s">
        <v>38</v>
      </c>
      <c r="D20" s="3"/>
      <c r="E20" s="3"/>
      <c r="F20" s="3"/>
      <c r="G20" s="3"/>
      <c r="H20" s="3">
        <f>SUM(H19+P15)</f>
        <v>20508</v>
      </c>
      <c r="I20" s="4">
        <f t="shared" si="0"/>
        <v>1868.48112041189</v>
      </c>
      <c r="J20" s="5">
        <f t="shared" si="1"/>
        <v>1011.99224709013</v>
      </c>
      <c r="K20" s="1"/>
      <c r="L20" s="1"/>
      <c r="M20" s="1"/>
      <c r="N20" s="1"/>
      <c r="O20" s="6"/>
      <c r="P20" s="6"/>
      <c r="Q20" s="6"/>
    </row>
    <row r="21" spans="1:17">
      <c r="A21" s="1"/>
      <c r="B21" s="3" t="s">
        <v>39</v>
      </c>
      <c r="C21" s="3" t="s">
        <v>40</v>
      </c>
      <c r="D21" s="3"/>
      <c r="E21" s="3"/>
      <c r="F21" s="3"/>
      <c r="G21" s="3"/>
      <c r="H21" s="3">
        <f>SUM(H20+P14)</f>
        <v>21308</v>
      </c>
      <c r="I21" s="4">
        <f t="shared" si="0"/>
        <v>1941.36901276266</v>
      </c>
      <c r="J21" s="5">
        <f t="shared" si="1"/>
        <v>1051.4692218157</v>
      </c>
      <c r="K21" s="1"/>
      <c r="L21" s="1"/>
      <c r="M21" s="1"/>
      <c r="N21" s="1"/>
      <c r="O21" s="6"/>
      <c r="P21" s="6"/>
      <c r="Q21" s="6"/>
    </row>
    <row r="22" spans="1:17">
      <c r="A22" s="1"/>
      <c r="B22" s="3" t="s">
        <v>41</v>
      </c>
      <c r="C22" s="3" t="s">
        <v>42</v>
      </c>
      <c r="D22" s="3"/>
      <c r="E22" s="3"/>
      <c r="F22" s="3"/>
      <c r="G22" s="3"/>
      <c r="H22" s="3">
        <f>SUM(H18+P13)</f>
        <v>19073</v>
      </c>
      <c r="I22" s="4">
        <f t="shared" si="0"/>
        <v>1737.73846350771</v>
      </c>
      <c r="J22" s="5">
        <f t="shared" si="1"/>
        <v>941.180423676127</v>
      </c>
      <c r="K22" s="1"/>
      <c r="L22" s="1"/>
      <c r="M22" s="1"/>
      <c r="N22" s="1"/>
      <c r="O22" s="6"/>
      <c r="P22" s="6"/>
      <c r="Q22" s="6"/>
    </row>
    <row r="23" spans="1:17">
      <c r="A23" s="1"/>
      <c r="B23" s="3" t="s">
        <v>43</v>
      </c>
      <c r="C23" s="3" t="s">
        <v>44</v>
      </c>
      <c r="D23" s="3"/>
      <c r="E23" s="3"/>
      <c r="F23" s="3"/>
      <c r="G23" s="3"/>
      <c r="H23" s="3">
        <f>SUM(P10+P18)</f>
        <v>14074</v>
      </c>
      <c r="I23" s="4">
        <f t="shared" si="0"/>
        <v>1282.28024618086</v>
      </c>
      <c r="J23" s="5">
        <f t="shared" si="1"/>
        <v>694.498677859687</v>
      </c>
      <c r="K23" s="1"/>
      <c r="L23" s="1"/>
      <c r="M23" s="1"/>
      <c r="N23" s="1"/>
      <c r="O23" s="6"/>
      <c r="P23" s="6"/>
      <c r="Q23" s="6"/>
    </row>
    <row r="24" spans="1:17">
      <c r="A24" s="1"/>
      <c r="B24" s="3"/>
      <c r="C24" s="3"/>
      <c r="D24" s="3"/>
      <c r="E24" s="3"/>
      <c r="F24" s="3"/>
      <c r="G24" s="3"/>
      <c r="H24" s="3"/>
      <c r="I24" s="4">
        <f t="shared" si="0"/>
        <v>0</v>
      </c>
      <c r="J24" s="5">
        <f t="shared" si="1"/>
        <v>0</v>
      </c>
      <c r="K24" s="1"/>
      <c r="L24" s="1"/>
      <c r="M24" s="1"/>
      <c r="N24" s="1"/>
      <c r="O24" s="6"/>
      <c r="P24" s="6"/>
      <c r="Q24" s="6"/>
    </row>
    <row r="25" spans="1:17">
      <c r="A25" s="1"/>
      <c r="B25" s="3"/>
      <c r="C25" s="3"/>
      <c r="D25" s="3"/>
      <c r="E25" s="3"/>
      <c r="F25" s="3"/>
      <c r="G25" s="3"/>
      <c r="H25" s="3"/>
      <c r="I25" s="4">
        <f t="shared" si="0"/>
        <v>0</v>
      </c>
      <c r="J25" s="5">
        <f t="shared" si="1"/>
        <v>0</v>
      </c>
      <c r="K25" s="1"/>
      <c r="L25" s="1"/>
      <c r="M25" s="1"/>
      <c r="N25" s="1"/>
      <c r="O25" s="6"/>
      <c r="P25" s="6"/>
      <c r="Q25" s="6"/>
    </row>
    <row r="26" spans="1:17">
      <c r="A26" s="1"/>
      <c r="B26" s="3"/>
      <c r="C26" s="3"/>
      <c r="D26" s="3"/>
      <c r="E26" s="3"/>
      <c r="F26" s="3"/>
      <c r="G26" s="3"/>
      <c r="H26" s="3"/>
      <c r="I26" s="4">
        <f t="shared" si="0"/>
        <v>0</v>
      </c>
      <c r="J26" s="5">
        <f t="shared" si="1"/>
        <v>0</v>
      </c>
      <c r="K26" s="1"/>
      <c r="L26" s="1"/>
      <c r="M26" s="1"/>
      <c r="N26" s="1"/>
      <c r="O26" s="6"/>
      <c r="P26" s="6"/>
      <c r="Q26" s="6"/>
    </row>
    <row r="27" spans="1:17">
      <c r="A27" s="1"/>
      <c r="B27" s="3" t="s">
        <v>45</v>
      </c>
      <c r="C27" s="3"/>
      <c r="D27" s="3"/>
      <c r="E27" s="3"/>
      <c r="F27" s="3"/>
      <c r="G27" s="3"/>
      <c r="H27" s="3"/>
      <c r="I27" s="4">
        <f t="shared" si="0"/>
        <v>0</v>
      </c>
      <c r="J27" s="5">
        <f t="shared" si="1"/>
        <v>0</v>
      </c>
      <c r="K27" s="1"/>
      <c r="L27" s="1"/>
      <c r="M27" s="1"/>
      <c r="N27" s="1"/>
      <c r="O27" s="6"/>
      <c r="P27" s="6"/>
      <c r="Q27" s="6"/>
    </row>
    <row r="28" spans="1:17">
      <c r="A28" s="1"/>
      <c r="B28" s="3"/>
      <c r="C28" s="3"/>
      <c r="D28" s="3"/>
      <c r="E28" s="3"/>
      <c r="F28" s="3"/>
      <c r="G28" s="3"/>
      <c r="H28" s="3"/>
      <c r="I28" s="4">
        <f t="shared" si="0"/>
        <v>0</v>
      </c>
      <c r="J28" s="5">
        <f t="shared" si="1"/>
        <v>0</v>
      </c>
      <c r="K28" s="1"/>
      <c r="L28" s="1"/>
      <c r="M28" s="1"/>
      <c r="N28" s="1"/>
      <c r="O28" s="6"/>
      <c r="P28" s="6"/>
      <c r="Q28" s="6"/>
    </row>
    <row r="29" spans="1:17">
      <c r="A29" s="1"/>
      <c r="B29" s="3" t="s">
        <v>46</v>
      </c>
      <c r="C29" s="3" t="s">
        <v>47</v>
      </c>
      <c r="D29" s="3"/>
      <c r="E29" s="3"/>
      <c r="F29" s="3"/>
      <c r="G29" s="3"/>
      <c r="H29" s="3">
        <f>SUM(P9+P18)</f>
        <v>13074</v>
      </c>
      <c r="I29" s="4">
        <f t="shared" si="0"/>
        <v>1191.1703807424</v>
      </c>
      <c r="J29" s="5">
        <f t="shared" si="1"/>
        <v>645.152459452718</v>
      </c>
      <c r="K29" s="1"/>
      <c r="L29" s="1"/>
      <c r="M29" s="1"/>
      <c r="N29" s="1"/>
      <c r="O29" s="6"/>
      <c r="P29" s="6"/>
      <c r="Q29" s="6"/>
    </row>
    <row r="30" spans="1:17">
      <c r="A30" s="1"/>
      <c r="B30" s="3" t="s">
        <v>48</v>
      </c>
      <c r="C30" s="3" t="s">
        <v>49</v>
      </c>
      <c r="D30" s="3"/>
      <c r="E30" s="3"/>
      <c r="F30" s="3"/>
      <c r="G30" s="3"/>
      <c r="H30" s="3">
        <f>SUM(H29+P16)</f>
        <v>13509</v>
      </c>
      <c r="I30" s="4">
        <f t="shared" si="0"/>
        <v>1230.80317220813</v>
      </c>
      <c r="J30" s="5">
        <f t="shared" si="1"/>
        <v>666.618064459749</v>
      </c>
      <c r="K30" s="1"/>
      <c r="L30" s="1"/>
      <c r="M30" s="1"/>
      <c r="N30" s="1"/>
      <c r="O30" s="6"/>
      <c r="P30" s="6"/>
      <c r="Q30" s="6"/>
    </row>
    <row r="31" spans="1:17">
      <c r="A31" s="1"/>
      <c r="B31" s="3" t="s">
        <v>50</v>
      </c>
      <c r="C31" s="3" t="s">
        <v>51</v>
      </c>
      <c r="D31" s="3"/>
      <c r="E31" s="3"/>
      <c r="F31" s="3"/>
      <c r="G31" s="3"/>
      <c r="H31" s="3">
        <f>SUM(H30+P15)</f>
        <v>19508</v>
      </c>
      <c r="I31" s="4">
        <f t="shared" si="0"/>
        <v>1777.37125497344</v>
      </c>
      <c r="J31" s="5">
        <f t="shared" si="1"/>
        <v>962.646028683159</v>
      </c>
      <c r="K31" s="1"/>
      <c r="L31" s="1"/>
      <c r="M31" s="1"/>
      <c r="N31" s="1"/>
      <c r="O31" s="6"/>
      <c r="P31" s="6"/>
      <c r="Q31" s="6"/>
    </row>
    <row r="32" spans="1:17">
      <c r="A32" s="1"/>
      <c r="B32" s="3" t="s">
        <v>52</v>
      </c>
      <c r="C32" s="3" t="s">
        <v>53</v>
      </c>
      <c r="D32" s="3"/>
      <c r="E32" s="3"/>
      <c r="F32" s="3"/>
      <c r="G32" s="3"/>
      <c r="H32" s="3">
        <f>SUM(H31+P14)</f>
        <v>20308</v>
      </c>
      <c r="I32" s="4">
        <f t="shared" si="0"/>
        <v>1850.2591473242</v>
      </c>
      <c r="J32" s="5">
        <f t="shared" si="1"/>
        <v>1002.12300340873</v>
      </c>
      <c r="K32" s="1"/>
      <c r="L32" s="1"/>
      <c r="M32" s="1"/>
      <c r="N32" s="1"/>
      <c r="O32" s="6"/>
      <c r="P32" s="6"/>
      <c r="Q32" s="6"/>
    </row>
    <row r="33" spans="1:17">
      <c r="A33" s="1"/>
      <c r="B33" s="3"/>
      <c r="C33" s="3"/>
      <c r="D33" s="3"/>
      <c r="E33" s="3"/>
      <c r="F33" s="3"/>
      <c r="G33" s="3"/>
      <c r="H33" s="3"/>
      <c r="I33" s="4">
        <f t="shared" si="0"/>
        <v>0</v>
      </c>
      <c r="J33" s="5">
        <f t="shared" si="1"/>
        <v>0</v>
      </c>
      <c r="K33" s="1"/>
      <c r="L33" s="1"/>
      <c r="M33" s="1"/>
      <c r="N33" s="1"/>
      <c r="O33" s="6"/>
      <c r="P33" s="6"/>
      <c r="Q33" s="6"/>
    </row>
    <row r="34" spans="1:17">
      <c r="A34" s="1"/>
      <c r="B34" s="3" t="s">
        <v>54</v>
      </c>
      <c r="C34" s="3" t="s">
        <v>55</v>
      </c>
      <c r="D34" s="3"/>
      <c r="E34" s="3"/>
      <c r="F34" s="3"/>
      <c r="G34" s="3"/>
      <c r="H34" s="3">
        <f>SUM(H29+P13)</f>
        <v>18073</v>
      </c>
      <c r="I34" s="4">
        <f t="shared" si="0"/>
        <v>1646.62859806925</v>
      </c>
      <c r="J34" s="5">
        <f t="shared" si="1"/>
        <v>891.834205269157</v>
      </c>
      <c r="K34" s="1"/>
      <c r="L34" s="1"/>
      <c r="M34" s="1"/>
      <c r="N34" s="1"/>
      <c r="O34" s="6"/>
      <c r="P34" s="6"/>
      <c r="Q34" s="6"/>
    </row>
    <row r="35" spans="1:17">
      <c r="A35" s="1"/>
      <c r="B35" s="3" t="s">
        <v>56</v>
      </c>
      <c r="C35" s="3" t="s">
        <v>57</v>
      </c>
      <c r="D35" s="3"/>
      <c r="E35" s="3"/>
      <c r="F35" s="3"/>
      <c r="G35" s="3"/>
      <c r="H35" s="3">
        <f>SUM(P9+P13)</f>
        <v>16998</v>
      </c>
      <c r="I35" s="4">
        <f t="shared" si="0"/>
        <v>1548.68549272291</v>
      </c>
      <c r="J35" s="5">
        <f t="shared" si="1"/>
        <v>838.787020481665</v>
      </c>
      <c r="K35" s="1"/>
      <c r="L35" s="1"/>
      <c r="M35" s="1"/>
      <c r="N35" s="1"/>
      <c r="O35" s="6"/>
      <c r="P35" s="6"/>
      <c r="Q35" s="6"/>
    </row>
    <row r="36" spans="1:17">
      <c r="A36" s="1"/>
      <c r="B36" s="3"/>
      <c r="C36" s="3"/>
      <c r="D36" s="3"/>
      <c r="E36" s="3"/>
      <c r="F36" s="3"/>
      <c r="G36" s="3"/>
      <c r="H36" s="3"/>
      <c r="I36" s="4">
        <f t="shared" si="0"/>
        <v>0</v>
      </c>
      <c r="J36" s="5">
        <f t="shared" si="1"/>
        <v>0</v>
      </c>
      <c r="K36" s="1"/>
      <c r="L36" s="1"/>
      <c r="M36" s="1"/>
      <c r="N36" s="1"/>
      <c r="O36" s="6"/>
      <c r="P36" s="6"/>
      <c r="Q36" s="6"/>
    </row>
    <row r="37" spans="1:17">
      <c r="A37" s="1"/>
      <c r="B37" s="3" t="s">
        <v>58</v>
      </c>
      <c r="C37" s="3" t="s">
        <v>59</v>
      </c>
      <c r="D37" s="3"/>
      <c r="E37" s="3"/>
      <c r="F37" s="3"/>
      <c r="G37" s="3"/>
      <c r="H37" s="3">
        <f>SUM(P11+P19)</f>
        <v>16799</v>
      </c>
      <c r="I37" s="4">
        <f t="shared" si="0"/>
        <v>1530.55462950065</v>
      </c>
      <c r="J37" s="5">
        <f t="shared" si="1"/>
        <v>828.967123018679</v>
      </c>
      <c r="K37" s="1"/>
      <c r="L37" s="1"/>
      <c r="M37" s="1"/>
      <c r="N37" s="1"/>
      <c r="O37" s="6"/>
      <c r="P37" s="6"/>
      <c r="Q37" s="6"/>
    </row>
    <row r="38" spans="1:17">
      <c r="A38" s="1"/>
      <c r="B38" s="3" t="s">
        <v>60</v>
      </c>
      <c r="C38" s="3" t="s">
        <v>61</v>
      </c>
      <c r="D38" s="3"/>
      <c r="E38" s="3"/>
      <c r="F38" s="3"/>
      <c r="G38" s="3"/>
      <c r="H38" s="3">
        <f>SUM(P12+P19)</f>
        <v>12799</v>
      </c>
      <c r="I38" s="4">
        <f t="shared" si="0"/>
        <v>1166.11516774682</v>
      </c>
      <c r="J38" s="5">
        <f t="shared" si="1"/>
        <v>631.582249390801</v>
      </c>
      <c r="K38" s="1"/>
      <c r="L38" s="1"/>
      <c r="M38" s="1"/>
      <c r="N38" s="1"/>
      <c r="O38" s="6"/>
      <c r="P38" s="6"/>
      <c r="Q38" s="6"/>
    </row>
    <row r="39" spans="1:17">
      <c r="A39" s="1"/>
      <c r="B39" s="3"/>
      <c r="C39" s="3"/>
      <c r="D39" s="3"/>
      <c r="E39" s="3"/>
      <c r="F39" s="3"/>
      <c r="G39" s="3"/>
      <c r="H39" s="3"/>
      <c r="I39" s="1"/>
      <c r="J39" s="5">
        <f t="shared" si="1"/>
        <v>0</v>
      </c>
      <c r="K39" s="1"/>
      <c r="L39" s="1"/>
      <c r="M39" s="1"/>
      <c r="N39" s="1"/>
      <c r="O39" s="6"/>
      <c r="P39" s="6"/>
      <c r="Q39" s="6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2026-02-11T01:04:00Z</dcterms:created>
  <dcterms:modified xsi:type="dcterms:W3CDTF">2026-02-22T08:57:10Z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71405D5E31045818C6A89A69FB69B419_43</vt:lpwstr>
  </property>
  <property fmtid="{D5CDD505-2E9C-101B-9397-08002B2CF9AE}" pid="3" name="KSOProductBuildVer">
    <vt:lpwstr>1033-12.1.23155.23155</vt:lpwstr>
  </property>
</Properties>
</file>