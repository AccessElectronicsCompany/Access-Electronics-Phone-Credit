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<sst xmlns="http://schemas.openxmlformats.org/spreadsheetml/2006/main" count="244" uniqueCount="131">
  <si>
    <t>DEVICES LIST &amp; THEIR PRICES : INCLUDES MONTHLY PAYMENTS [24/36 MONTHS]</t>
  </si>
  <si>
    <t>NEW PHONES</t>
  </si>
  <si>
    <t>MODEL</t>
  </si>
  <si>
    <t>STORAGE</t>
  </si>
  <si>
    <t>CASH PRICE</t>
  </si>
  <si>
    <t>12 Months</t>
  </si>
  <si>
    <t>24 Months</t>
  </si>
  <si>
    <t>36 Months</t>
  </si>
  <si>
    <t>iPhone 13</t>
  </si>
  <si>
    <t>128GB</t>
  </si>
  <si>
    <t>256GB</t>
  </si>
  <si>
    <t>iPhone 13 Pro</t>
  </si>
  <si>
    <t>iPhone 13 Pro Max</t>
  </si>
  <si>
    <t xml:space="preserve">iPhone 14 </t>
  </si>
  <si>
    <t>iPhone 14 Pro</t>
  </si>
  <si>
    <t xml:space="preserve">iPhone 14 Pro </t>
  </si>
  <si>
    <t xml:space="preserve">iPhone 14 Pro Max  </t>
  </si>
  <si>
    <t xml:space="preserve">iPhone 15 </t>
  </si>
  <si>
    <t xml:space="preserve">iPhone 16 </t>
  </si>
  <si>
    <t>iPhone 16 Plus</t>
  </si>
  <si>
    <t>iPhone 16 Pro</t>
  </si>
  <si>
    <t xml:space="preserve">iPhone 17 </t>
  </si>
  <si>
    <t>iPhone 17 Pro</t>
  </si>
  <si>
    <t>512GB</t>
  </si>
  <si>
    <t>iPhone 17 Pro Max</t>
  </si>
  <si>
    <t>SAMSUNGS</t>
  </si>
  <si>
    <t>Samsung A06</t>
  </si>
  <si>
    <t>64GB</t>
  </si>
  <si>
    <t>Samsung A16</t>
  </si>
  <si>
    <t xml:space="preserve">128GB </t>
  </si>
  <si>
    <t>Samsung A07</t>
  </si>
  <si>
    <t>Samsung A17</t>
  </si>
  <si>
    <t>Samsung A26</t>
  </si>
  <si>
    <t>Samsung A36</t>
  </si>
  <si>
    <t>Samsung A56</t>
  </si>
  <si>
    <t>Samsung S24</t>
  </si>
  <si>
    <t>Samsung S24 Plus</t>
  </si>
  <si>
    <t>Samsung S24 Ultra</t>
  </si>
  <si>
    <t xml:space="preserve">Samsung S24 Ultra </t>
  </si>
  <si>
    <t>Samsung S25</t>
  </si>
  <si>
    <t>Samsung S25 Plus</t>
  </si>
  <si>
    <t>Samsung S25 Ultra</t>
  </si>
  <si>
    <t>GAMING</t>
  </si>
  <si>
    <t>Playstation 5 Disc</t>
  </si>
  <si>
    <t>1TB</t>
  </si>
  <si>
    <t>Playstation 5 Digital</t>
  </si>
  <si>
    <t>Playstation 5 Pro</t>
  </si>
  <si>
    <t>2TB</t>
  </si>
  <si>
    <t>PS5 Controller</t>
  </si>
  <si>
    <t>Playstation 5 Portal</t>
  </si>
  <si>
    <t>Charging Station</t>
  </si>
  <si>
    <t>XBox X-Series</t>
  </si>
  <si>
    <t>Xbox Joystick</t>
  </si>
  <si>
    <t>BackBone- Playstation</t>
  </si>
  <si>
    <t>BackBone USBC</t>
  </si>
  <si>
    <t xml:space="preserve">BackBone Lightning </t>
  </si>
  <si>
    <t>Nintendo Switch</t>
  </si>
  <si>
    <t>With Game</t>
  </si>
  <si>
    <t>Nintendo Switch Lite</t>
  </si>
  <si>
    <t>Nintendo Switch 2</t>
  </si>
  <si>
    <t>Logitech 29 Racing Wheel</t>
  </si>
  <si>
    <t>Apple Watch Ultra 3</t>
  </si>
  <si>
    <t>49MM</t>
  </si>
  <si>
    <t>Apple Watch 11</t>
  </si>
  <si>
    <t>46MM</t>
  </si>
  <si>
    <t>Apple Watch SE 3rd Gen</t>
  </si>
  <si>
    <t>44MM</t>
  </si>
  <si>
    <t>40MM</t>
  </si>
  <si>
    <t>Apple Watch SE 2nd Gen</t>
  </si>
  <si>
    <t>Samsung Watch 7</t>
  </si>
  <si>
    <t>Samsung Watch Ultra</t>
  </si>
  <si>
    <t>47MM</t>
  </si>
  <si>
    <t>Samsung Watch 8</t>
  </si>
  <si>
    <t>Samsung Watch 8 Ultra</t>
  </si>
  <si>
    <t xml:space="preserve">Samsung Watch Classic </t>
  </si>
  <si>
    <t>43MM</t>
  </si>
  <si>
    <t>iPad A16</t>
  </si>
  <si>
    <t>iPad 10th Gen</t>
  </si>
  <si>
    <t>iPad Pro M4 13" WIFI</t>
  </si>
  <si>
    <t>iPad Pro M4 11" CELLULAR</t>
  </si>
  <si>
    <t>iPad Pro M4 11" WIFI</t>
  </si>
  <si>
    <t>iPad Pro M4 13" CELLULAR</t>
  </si>
  <si>
    <t xml:space="preserve">256GB </t>
  </si>
  <si>
    <t>iPad Air M4 13" WIFI</t>
  </si>
  <si>
    <t>Samsung Tab A9</t>
  </si>
  <si>
    <t>Samsung Tab A9 Plus[WIFI]</t>
  </si>
  <si>
    <t>Samsung Tab A9 Plus[CELL]</t>
  </si>
  <si>
    <t>Samsung Tab S9[WIFI]</t>
  </si>
  <si>
    <t>MacBook Air M1 13"</t>
  </si>
  <si>
    <t>MacBook Air M2 13"</t>
  </si>
  <si>
    <t>MacBook Air M4 13"</t>
  </si>
  <si>
    <t>MacBook Air M4 15"</t>
  </si>
  <si>
    <t>HP I3 FD00133</t>
  </si>
  <si>
    <t>8/256GB</t>
  </si>
  <si>
    <t>HP I5 FDO250</t>
  </si>
  <si>
    <t>16/512GB</t>
  </si>
  <si>
    <t>HP I5 FD0215</t>
  </si>
  <si>
    <t>HP I7 FD0557</t>
  </si>
  <si>
    <t>HP I7 FD0127DX</t>
  </si>
  <si>
    <t>USED DEVICES</t>
  </si>
  <si>
    <t>iPhone 11 [USED]</t>
  </si>
  <si>
    <t>iPhone 11[USED]</t>
  </si>
  <si>
    <t>iPhone 11 Pro [USED]</t>
  </si>
  <si>
    <t>iPhone 11 Pro Max [USED]</t>
  </si>
  <si>
    <t>iPhone 12 [USED]</t>
  </si>
  <si>
    <t>iphone 12 Pro [USED]</t>
  </si>
  <si>
    <t>iPhone 12 Pro Max[USED]</t>
  </si>
  <si>
    <t>iPhone 13[USED]</t>
  </si>
  <si>
    <t>iPhone 13 [USED]</t>
  </si>
  <si>
    <t>iPhone 13 Pro[USED]</t>
  </si>
  <si>
    <t>iPhone 13 Pro Max [USED]</t>
  </si>
  <si>
    <t>iPhone 14 [USED]</t>
  </si>
  <si>
    <t>iPhone 14 Pro[USED]</t>
  </si>
  <si>
    <t>iPhone 14 Pro [USED]</t>
  </si>
  <si>
    <t>iPhone 14 Pro Max [USED]</t>
  </si>
  <si>
    <t>iPhone 15 [USED]</t>
  </si>
  <si>
    <t>iPhone 15 Pro[USED]</t>
  </si>
  <si>
    <t>iPhone 15 Pro [USED]</t>
  </si>
  <si>
    <t>iPhone 16[USED]</t>
  </si>
  <si>
    <t>iPhone 16 Pro [USED]</t>
  </si>
  <si>
    <t>iPhone 16 Pro[USED]</t>
  </si>
  <si>
    <t>iPhone 16 Pro Max[USED]</t>
  </si>
  <si>
    <t>Samsung s22[USED]</t>
  </si>
  <si>
    <t>Samsung S22 Ultra[USED]</t>
  </si>
  <si>
    <t>Samsung S23[USED]</t>
  </si>
  <si>
    <t>Samsung S23 Ultra[USED]</t>
  </si>
  <si>
    <t>Samsung S24 [USED]</t>
  </si>
  <si>
    <t>Samsung S24 Ultra [USED]</t>
  </si>
  <si>
    <t>Samsung S25[USED]</t>
  </si>
  <si>
    <t>Samsung Note 20[USED]</t>
  </si>
  <si>
    <t>Samsung Note 20 Ultra[USED]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</si>
</sst>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4">
    <font>
      <sz val="11"/>
      <color theme="1"/>
      <name val="Calibri"/>
      <charset val="134"/>
      <scheme val="minor"/>
    </font>
    <font>
      <b/>
      <sz val="11"/>
      <color theme="1"/>
      <name val="Hiragino Kaku Gothic Pro W6"/>
      <charset val="134"/>
    </font>
    <font>
      <b/>
      <sz val="16"/>
      <color theme="1"/>
      <name val="Hiragino Kaku Gothic Pro W6"/>
      <charset val="134"/>
    </font>
    <font>
      <sz val="11"/>
      <color theme="1"/>
      <name val="Hiragino Kaku Gothic Pro W3"/>
      <charset val="134"/>
    </font>
    <font>
      <b/>
      <sz val="10"/>
      <color theme="1"/>
      <name val="Hiragino Kaku Gothic Pro W3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8" fontId="3" fillId="0" borderId="0" xfId="3" applyNumberFormat="1" applyFont="1">
      <alignment vertical="center"/>
    </xf>
    <xf numFmtId="178" fontId="3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6"/>
  <sheetViews>
    <sheetView tabSelected="1" zoomScale="110" zoomScaleNormal="110" topLeftCell="A109" workbookViewId="0">
      <selection activeCell="A17" sqref="$A17:$XFD17"/>
    </sheetView>
  </sheetViews>
  <sheetFormatPr defaultColWidth="9" defaultRowHeight="16.8"/>
  <cols>
    <col min="2" max="2" width="25.3828125" customWidth="1"/>
    <col min="3" max="3" width="11.453125" customWidth="1"/>
    <col min="4" max="4" width="13.1484375" customWidth="1"/>
    <col min="5" max="5" width="13.40625" hidden="1" customWidth="1"/>
    <col min="6" max="6" width="11.453125" hidden="1" customWidth="1"/>
    <col min="7" max="7" width="11.4609375" hidden="1" customWidth="1"/>
    <col min="9" max="9" width="13.125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3.2" spans="1:11">
      <c r="A4" s="1"/>
      <c r="B4" s="2" t="s">
        <v>1</v>
      </c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3" t="s">
        <v>8</v>
      </c>
      <c r="C8" s="3" t="s">
        <v>9</v>
      </c>
      <c r="D8" s="3">
        <v>10499</v>
      </c>
      <c r="E8" s="5">
        <f t="shared" ref="E8:E22" si="0">SUM(((D8*0.168)+D8)/12)</f>
        <v>1021.90266666667</v>
      </c>
      <c r="F8" s="6">
        <f t="shared" ref="F8:F22" si="1">SUM(((D8*0.168)+D8)/24)</f>
        <v>510.951333333333</v>
      </c>
      <c r="G8" s="6">
        <f t="shared" ref="G8:G22" si="2">SUM(((D8*0.168)+D8)/36)</f>
        <v>340.634222222222</v>
      </c>
      <c r="H8" s="1"/>
      <c r="I8" s="1"/>
      <c r="J8" s="1"/>
      <c r="K8" s="1"/>
    </row>
    <row r="9" hidden="1" spans="1:11">
      <c r="A9" s="1"/>
      <c r="B9" s="3" t="s">
        <v>8</v>
      </c>
      <c r="C9" s="3" t="s">
        <v>10</v>
      </c>
      <c r="D9" s="3">
        <v>11999</v>
      </c>
      <c r="E9" s="5">
        <f t="shared" si="0"/>
        <v>1167.90266666667</v>
      </c>
      <c r="F9" s="6">
        <f t="shared" si="1"/>
        <v>583.951333333333</v>
      </c>
      <c r="G9" s="6">
        <f t="shared" si="2"/>
        <v>389.300888888889</v>
      </c>
      <c r="H9" s="1"/>
      <c r="I9" s="1"/>
      <c r="J9" s="1"/>
      <c r="K9" s="1"/>
    </row>
    <row r="10" hidden="1" spans="1:11">
      <c r="A10" s="1"/>
      <c r="B10" s="3" t="s">
        <v>11</v>
      </c>
      <c r="C10" s="3" t="s">
        <v>10</v>
      </c>
      <c r="D10" s="3">
        <v>14999</v>
      </c>
      <c r="E10" s="5">
        <f t="shared" si="0"/>
        <v>1459.90266666667</v>
      </c>
      <c r="F10" s="6">
        <f t="shared" si="1"/>
        <v>729.951333333333</v>
      </c>
      <c r="G10" s="6">
        <f t="shared" si="2"/>
        <v>486.634222222222</v>
      </c>
      <c r="H10" s="1"/>
      <c r="I10" s="1"/>
      <c r="J10" s="1"/>
      <c r="K10" s="1"/>
    </row>
    <row r="11" hidden="1" spans="1:11">
      <c r="A11" s="1"/>
      <c r="B11" s="3" t="s">
        <v>12</v>
      </c>
      <c r="C11" s="3" t="s">
        <v>9</v>
      </c>
      <c r="D11" s="3">
        <v>14999</v>
      </c>
      <c r="E11" s="5">
        <f t="shared" si="0"/>
        <v>1459.90266666667</v>
      </c>
      <c r="F11" s="6">
        <f t="shared" si="1"/>
        <v>729.951333333333</v>
      </c>
      <c r="G11" s="6">
        <f t="shared" si="2"/>
        <v>486.634222222222</v>
      </c>
      <c r="H11" s="1"/>
      <c r="I11" s="1"/>
      <c r="J11" s="1"/>
      <c r="K11" s="1"/>
    </row>
    <row r="12" hidden="1" spans="1:11">
      <c r="A12" s="1"/>
      <c r="B12" s="3" t="s">
        <v>12</v>
      </c>
      <c r="C12" s="3" t="s">
        <v>10</v>
      </c>
      <c r="D12" s="3">
        <v>15999</v>
      </c>
      <c r="E12" s="5">
        <f t="shared" si="0"/>
        <v>1557.236</v>
      </c>
      <c r="F12" s="6">
        <f t="shared" si="1"/>
        <v>778.618</v>
      </c>
      <c r="G12" s="6">
        <f t="shared" si="2"/>
        <v>519.078666666667</v>
      </c>
      <c r="H12" s="1"/>
      <c r="I12" s="1"/>
      <c r="J12" s="1"/>
      <c r="K12" s="1"/>
    </row>
    <row r="13" spans="1:11">
      <c r="A13" s="1"/>
      <c r="B13" s="3" t="s">
        <v>13</v>
      </c>
      <c r="C13" s="3" t="s">
        <v>9</v>
      </c>
      <c r="D13" s="3">
        <v>11999</v>
      </c>
      <c r="E13" s="5">
        <f t="shared" si="0"/>
        <v>1167.90266666667</v>
      </c>
      <c r="F13" s="6">
        <f t="shared" si="1"/>
        <v>583.951333333333</v>
      </c>
      <c r="G13" s="6">
        <f t="shared" si="2"/>
        <v>389.300888888889</v>
      </c>
      <c r="H13" s="1"/>
      <c r="I13" s="1"/>
      <c r="J13" s="1"/>
      <c r="K13" s="1"/>
    </row>
    <row r="14" spans="1:11">
      <c r="A14" s="1"/>
      <c r="B14" s="3" t="s">
        <v>13</v>
      </c>
      <c r="C14" s="3" t="s">
        <v>10</v>
      </c>
      <c r="D14" s="3">
        <v>13499</v>
      </c>
      <c r="E14" s="5">
        <f t="shared" si="0"/>
        <v>1313.90266666667</v>
      </c>
      <c r="F14" s="6">
        <f t="shared" si="1"/>
        <v>656.951333333333</v>
      </c>
      <c r="G14" s="6">
        <f t="shared" si="2"/>
        <v>437.967555555556</v>
      </c>
      <c r="H14" s="1"/>
      <c r="I14" s="1"/>
      <c r="J14" s="1"/>
      <c r="K14" s="1"/>
    </row>
    <row r="15" hidden="1" spans="1:11">
      <c r="A15" s="1"/>
      <c r="B15" s="3" t="s">
        <v>14</v>
      </c>
      <c r="C15" s="3" t="s">
        <v>9</v>
      </c>
      <c r="D15" s="3">
        <v>14999</v>
      </c>
      <c r="E15" s="5">
        <f t="shared" si="0"/>
        <v>1459.90266666667</v>
      </c>
      <c r="F15" s="6">
        <f t="shared" si="1"/>
        <v>729.951333333333</v>
      </c>
      <c r="G15" s="6">
        <f t="shared" si="2"/>
        <v>486.634222222222</v>
      </c>
      <c r="H15" s="1"/>
      <c r="I15" s="1"/>
      <c r="J15" s="1"/>
      <c r="K15" s="1"/>
    </row>
    <row r="16" hidden="1" spans="1:11">
      <c r="A16" s="1"/>
      <c r="B16" s="3" t="s">
        <v>15</v>
      </c>
      <c r="C16" s="3" t="s">
        <v>10</v>
      </c>
      <c r="D16" s="3">
        <v>15999</v>
      </c>
      <c r="E16" s="5">
        <f t="shared" si="0"/>
        <v>1557.236</v>
      </c>
      <c r="F16" s="6">
        <f t="shared" si="1"/>
        <v>778.618</v>
      </c>
      <c r="G16" s="6">
        <f t="shared" si="2"/>
        <v>519.078666666667</v>
      </c>
      <c r="H16" s="1"/>
      <c r="I16" s="1"/>
      <c r="J16" s="1"/>
      <c r="K16" s="1"/>
    </row>
    <row r="17" hidden="1" spans="1:11">
      <c r="A17" s="1"/>
      <c r="B17" s="3" t="s">
        <v>16</v>
      </c>
      <c r="C17" s="3" t="s">
        <v>10</v>
      </c>
      <c r="D17" s="3">
        <v>17999</v>
      </c>
      <c r="E17" s="5">
        <f t="shared" si="0"/>
        <v>1751.90266666667</v>
      </c>
      <c r="F17" s="6">
        <f t="shared" si="1"/>
        <v>875.951333333333</v>
      </c>
      <c r="G17" s="6">
        <f t="shared" si="2"/>
        <v>583.967555555556</v>
      </c>
      <c r="H17" s="1"/>
      <c r="I17" s="1"/>
      <c r="J17" s="1"/>
      <c r="K17" s="1"/>
    </row>
    <row r="18" spans="1:11">
      <c r="A18" s="1"/>
      <c r="B18" s="3" t="s">
        <v>17</v>
      </c>
      <c r="C18" s="3" t="s">
        <v>9</v>
      </c>
      <c r="D18" s="3">
        <v>14499</v>
      </c>
      <c r="E18" s="5">
        <f t="shared" si="0"/>
        <v>1411.236</v>
      </c>
      <c r="F18" s="6">
        <f t="shared" si="1"/>
        <v>705.618</v>
      </c>
      <c r="G18" s="6">
        <f t="shared" si="2"/>
        <v>470.412</v>
      </c>
      <c r="H18" s="1"/>
      <c r="I18" s="1"/>
      <c r="J18" s="1"/>
      <c r="K18" s="1"/>
    </row>
    <row r="19" spans="1:11">
      <c r="A19" s="1"/>
      <c r="B19" s="3" t="s">
        <v>17</v>
      </c>
      <c r="C19" s="3" t="s">
        <v>10</v>
      </c>
      <c r="D19" s="3">
        <v>16499</v>
      </c>
      <c r="E19" s="5">
        <f t="shared" si="0"/>
        <v>1605.90266666667</v>
      </c>
      <c r="F19" s="6">
        <f t="shared" si="1"/>
        <v>802.951333333333</v>
      </c>
      <c r="G19" s="6">
        <f t="shared" si="2"/>
        <v>535.300888888889</v>
      </c>
      <c r="H19" s="1"/>
      <c r="I19" s="1"/>
      <c r="J19" s="1"/>
      <c r="K19" s="1"/>
    </row>
    <row r="20" spans="1:11">
      <c r="A20" s="1"/>
      <c r="B20" s="3" t="s">
        <v>18</v>
      </c>
      <c r="C20" s="3" t="s">
        <v>9</v>
      </c>
      <c r="D20" s="3">
        <v>16999</v>
      </c>
      <c r="E20" s="5">
        <f t="shared" si="0"/>
        <v>1654.56933333333</v>
      </c>
      <c r="F20" s="6">
        <f t="shared" si="1"/>
        <v>827.284666666667</v>
      </c>
      <c r="G20" s="6">
        <f t="shared" si="2"/>
        <v>551.523111111111</v>
      </c>
      <c r="H20" s="1"/>
      <c r="I20" s="1"/>
      <c r="J20" s="1"/>
      <c r="K20" s="1"/>
    </row>
    <row r="21" spans="1:11">
      <c r="A21" s="1"/>
      <c r="B21" s="3" t="s">
        <v>18</v>
      </c>
      <c r="C21" s="3" t="s">
        <v>10</v>
      </c>
      <c r="D21" s="3">
        <v>17999</v>
      </c>
      <c r="E21" s="5">
        <f t="shared" si="0"/>
        <v>1751.90266666667</v>
      </c>
      <c r="F21" s="6">
        <f t="shared" si="1"/>
        <v>875.951333333333</v>
      </c>
      <c r="G21" s="6">
        <f t="shared" si="2"/>
        <v>583.967555555556</v>
      </c>
      <c r="H21" s="1"/>
      <c r="I21" s="1"/>
      <c r="J21" s="1"/>
      <c r="K21" s="1"/>
    </row>
    <row r="22" spans="1:11">
      <c r="A22" s="1"/>
      <c r="B22" s="3" t="s">
        <v>19</v>
      </c>
      <c r="C22" s="3" t="s">
        <v>9</v>
      </c>
      <c r="D22" s="3">
        <v>18999</v>
      </c>
      <c r="E22" s="5">
        <f t="shared" si="0"/>
        <v>1849.236</v>
      </c>
      <c r="F22" s="6">
        <f t="shared" si="1"/>
        <v>924.618</v>
      </c>
      <c r="G22" s="6">
        <f t="shared" si="2"/>
        <v>616.412</v>
      </c>
      <c r="H22" s="1"/>
      <c r="I22" s="1"/>
      <c r="J22" s="1"/>
      <c r="K22" s="1"/>
    </row>
    <row r="23" spans="1:11">
      <c r="A23" s="1"/>
      <c r="B23" s="3" t="s">
        <v>20</v>
      </c>
      <c r="C23" s="3" t="s">
        <v>9</v>
      </c>
      <c r="D23" s="3">
        <v>23999</v>
      </c>
      <c r="E23" s="5">
        <f t="shared" ref="E23:E42" si="3">SUM(((D23*0.168)+D23)/12)</f>
        <v>2335.90266666667</v>
      </c>
      <c r="F23" s="6">
        <f t="shared" ref="F23:F42" si="4">SUM(((D23*0.168)+D23)/24)</f>
        <v>1167.95133333333</v>
      </c>
      <c r="G23" s="6">
        <f t="shared" ref="G23:G42" si="5">SUM(((D23*0.168)+D23)/36)</f>
        <v>778.634222222222</v>
      </c>
      <c r="H23" s="1"/>
      <c r="I23" s="1"/>
      <c r="J23" s="1"/>
      <c r="K23" s="1"/>
    </row>
    <row r="24" spans="1:11">
      <c r="A24" s="1"/>
      <c r="B24" s="3" t="s">
        <v>20</v>
      </c>
      <c r="C24" s="3" t="s">
        <v>10</v>
      </c>
      <c r="D24" s="3">
        <v>24999</v>
      </c>
      <c r="E24" s="5">
        <f t="shared" si="3"/>
        <v>2433.236</v>
      </c>
      <c r="F24" s="6">
        <f t="shared" si="4"/>
        <v>1216.618</v>
      </c>
      <c r="G24" s="6">
        <f t="shared" si="5"/>
        <v>811.078666666667</v>
      </c>
      <c r="H24" s="1"/>
      <c r="I24" s="1"/>
      <c r="J24" s="1"/>
      <c r="K24" s="1"/>
    </row>
    <row r="25" spans="1:11">
      <c r="A25" s="1"/>
      <c r="B25" s="3" t="s">
        <v>21</v>
      </c>
      <c r="C25" s="3" t="s">
        <v>10</v>
      </c>
      <c r="D25" s="3">
        <v>19999</v>
      </c>
      <c r="E25" s="5">
        <f t="shared" si="3"/>
        <v>1946.56933333333</v>
      </c>
      <c r="F25" s="6">
        <f t="shared" si="4"/>
        <v>973.284666666667</v>
      </c>
      <c r="G25" s="6">
        <f t="shared" si="5"/>
        <v>648.856444444444</v>
      </c>
      <c r="H25" s="1"/>
      <c r="I25" s="1"/>
      <c r="J25" s="1"/>
      <c r="K25" s="1"/>
    </row>
    <row r="26" spans="1:11">
      <c r="A26" s="1"/>
      <c r="B26" s="3" t="s">
        <v>22</v>
      </c>
      <c r="C26" s="3" t="s">
        <v>10</v>
      </c>
      <c r="D26" s="3">
        <v>27299</v>
      </c>
      <c r="E26" s="5">
        <f t="shared" si="3"/>
        <v>2657.10266666667</v>
      </c>
      <c r="F26" s="6">
        <f t="shared" si="4"/>
        <v>1328.55133333333</v>
      </c>
      <c r="G26" s="6">
        <f t="shared" si="5"/>
        <v>885.700888888889</v>
      </c>
      <c r="H26" s="1"/>
      <c r="I26" s="1"/>
      <c r="J26" s="1"/>
      <c r="K26" s="1"/>
    </row>
    <row r="27" spans="1:11">
      <c r="A27" s="1"/>
      <c r="B27" s="3" t="s">
        <v>22</v>
      </c>
      <c r="C27" s="3" t="s">
        <v>23</v>
      </c>
      <c r="D27" s="3">
        <v>31999</v>
      </c>
      <c r="E27" s="5">
        <f t="shared" si="3"/>
        <v>3114.56933333333</v>
      </c>
      <c r="F27" s="6">
        <f t="shared" si="4"/>
        <v>1557.28466666667</v>
      </c>
      <c r="G27" s="6">
        <f t="shared" si="5"/>
        <v>1038.18977777778</v>
      </c>
      <c r="H27" s="1"/>
      <c r="I27" s="1"/>
      <c r="J27" s="1"/>
      <c r="K27" s="1"/>
    </row>
    <row r="28" spans="1:11">
      <c r="A28" s="1"/>
      <c r="B28" s="3" t="s">
        <v>24</v>
      </c>
      <c r="C28" s="3" t="s">
        <v>10</v>
      </c>
      <c r="D28" s="3">
        <v>30999</v>
      </c>
      <c r="E28" s="5">
        <f t="shared" si="3"/>
        <v>3017.236</v>
      </c>
      <c r="F28" s="6">
        <f t="shared" si="4"/>
        <v>1508.618</v>
      </c>
      <c r="G28" s="6">
        <f t="shared" si="5"/>
        <v>1005.74533333333</v>
      </c>
      <c r="H28" s="1"/>
      <c r="I28" s="1"/>
      <c r="J28" s="1"/>
      <c r="K28" s="1"/>
    </row>
    <row r="29" spans="1:11">
      <c r="A29" s="1"/>
      <c r="B29" s="3" t="s">
        <v>24</v>
      </c>
      <c r="C29" s="3" t="s">
        <v>23</v>
      </c>
      <c r="D29" s="3">
        <v>33999</v>
      </c>
      <c r="E29" s="5">
        <f t="shared" si="3"/>
        <v>3309.236</v>
      </c>
      <c r="F29" s="6">
        <f t="shared" si="4"/>
        <v>1654.618</v>
      </c>
      <c r="G29" s="6">
        <f t="shared" si="5"/>
        <v>1103.07866666667</v>
      </c>
      <c r="H29" s="1"/>
      <c r="I29" s="1"/>
      <c r="J29" s="1"/>
      <c r="K29" s="1"/>
    </row>
    <row r="30" spans="1:11">
      <c r="A30" s="1"/>
      <c r="B30" s="1"/>
      <c r="C30" s="1"/>
      <c r="D30" s="1"/>
      <c r="E30" s="5">
        <f t="shared" si="3"/>
        <v>0</v>
      </c>
      <c r="F30" s="6">
        <f t="shared" si="4"/>
        <v>0</v>
      </c>
      <c r="G30" s="6">
        <f t="shared" si="5"/>
        <v>0</v>
      </c>
      <c r="H30" s="1"/>
      <c r="I30" s="1"/>
      <c r="J30" s="1"/>
      <c r="K30" s="1"/>
    </row>
    <row r="31" spans="1:11">
      <c r="A31" s="1"/>
      <c r="B31" s="1"/>
      <c r="C31" s="1"/>
      <c r="D31" s="1"/>
      <c r="E31" s="5">
        <f t="shared" si="3"/>
        <v>0</v>
      </c>
      <c r="F31" s="6">
        <f t="shared" si="4"/>
        <v>0</v>
      </c>
      <c r="G31" s="6">
        <f t="shared" si="5"/>
        <v>0</v>
      </c>
      <c r="H31" s="1"/>
      <c r="I31" s="1"/>
      <c r="J31" s="1"/>
      <c r="K31" s="1"/>
    </row>
    <row r="32" ht="23.2" spans="1:11">
      <c r="A32" s="1"/>
      <c r="B32" s="2" t="s">
        <v>25</v>
      </c>
      <c r="C32" s="1"/>
      <c r="D32" s="1"/>
      <c r="E32" s="5">
        <f t="shared" si="3"/>
        <v>0</v>
      </c>
      <c r="F32" s="6">
        <f t="shared" si="4"/>
        <v>0</v>
      </c>
      <c r="G32" s="6">
        <f t="shared" si="5"/>
        <v>0</v>
      </c>
      <c r="H32" s="1"/>
      <c r="I32" s="1"/>
      <c r="J32" s="1"/>
      <c r="K32" s="1"/>
    </row>
    <row r="33" spans="1:11">
      <c r="A33" s="1"/>
      <c r="B33" s="1"/>
      <c r="C33" s="1"/>
      <c r="D33" s="1"/>
      <c r="E33" s="5">
        <f t="shared" si="3"/>
        <v>0</v>
      </c>
      <c r="F33" s="6">
        <f t="shared" si="4"/>
        <v>0</v>
      </c>
      <c r="G33" s="6">
        <f t="shared" si="5"/>
        <v>0</v>
      </c>
      <c r="H33" s="1"/>
      <c r="I33" s="1"/>
      <c r="J33" s="1"/>
      <c r="K33" s="1"/>
    </row>
    <row r="34" spans="1:11">
      <c r="A34" s="1"/>
      <c r="B34" s="4" t="s">
        <v>26</v>
      </c>
      <c r="C34" s="4" t="s">
        <v>27</v>
      </c>
      <c r="D34" s="4">
        <v>1899</v>
      </c>
      <c r="E34" s="5">
        <f t="shared" si="3"/>
        <v>184.836</v>
      </c>
      <c r="F34" s="6">
        <f t="shared" si="4"/>
        <v>92.418</v>
      </c>
      <c r="G34" s="6">
        <f t="shared" si="5"/>
        <v>61.612</v>
      </c>
      <c r="H34" s="4"/>
      <c r="I34" s="1"/>
      <c r="J34" s="1"/>
      <c r="K34" s="1"/>
    </row>
    <row r="35" spans="1:11">
      <c r="A35" s="1"/>
      <c r="B35" s="4" t="s">
        <v>28</v>
      </c>
      <c r="C35" s="4" t="s">
        <v>29</v>
      </c>
      <c r="D35" s="4">
        <v>2499</v>
      </c>
      <c r="E35" s="5">
        <f t="shared" si="3"/>
        <v>243.236</v>
      </c>
      <c r="F35" s="6">
        <f t="shared" si="4"/>
        <v>121.618</v>
      </c>
      <c r="G35" s="6">
        <f t="shared" si="5"/>
        <v>81.0786666666667</v>
      </c>
      <c r="H35" s="4"/>
      <c r="I35" s="1"/>
      <c r="J35" s="1"/>
      <c r="K35" s="1"/>
    </row>
    <row r="36" spans="1:11">
      <c r="A36" s="1"/>
      <c r="B36" s="4" t="s">
        <v>30</v>
      </c>
      <c r="C36" s="4" t="s">
        <v>9</v>
      </c>
      <c r="D36" s="4">
        <v>2499</v>
      </c>
      <c r="E36" s="5">
        <f t="shared" si="3"/>
        <v>243.236</v>
      </c>
      <c r="F36" s="6">
        <f t="shared" si="4"/>
        <v>121.618</v>
      </c>
      <c r="G36" s="6">
        <f t="shared" si="5"/>
        <v>81.0786666666667</v>
      </c>
      <c r="H36" s="4"/>
      <c r="I36" s="1"/>
      <c r="J36" s="1"/>
      <c r="K36" s="1"/>
    </row>
    <row r="37" spans="1:11">
      <c r="A37" s="1"/>
      <c r="B37" s="4" t="s">
        <v>31</v>
      </c>
      <c r="C37" s="4" t="s">
        <v>9</v>
      </c>
      <c r="D37" s="4">
        <v>4500</v>
      </c>
      <c r="E37" s="5">
        <f t="shared" si="3"/>
        <v>438</v>
      </c>
      <c r="F37" s="6">
        <f t="shared" si="4"/>
        <v>219</v>
      </c>
      <c r="G37" s="6">
        <f t="shared" si="5"/>
        <v>146</v>
      </c>
      <c r="H37" s="4"/>
      <c r="I37" s="1"/>
      <c r="J37" s="1"/>
      <c r="K37" s="1"/>
    </row>
    <row r="38" spans="2:9">
      <c r="B38" s="4" t="s">
        <v>32</v>
      </c>
      <c r="C38" s="4" t="s">
        <v>9</v>
      </c>
      <c r="D38" s="4"/>
      <c r="E38" s="5">
        <f t="shared" si="3"/>
        <v>0</v>
      </c>
      <c r="F38" s="6">
        <f t="shared" si="4"/>
        <v>0</v>
      </c>
      <c r="G38" s="6">
        <f t="shared" si="5"/>
        <v>0</v>
      </c>
      <c r="H38" s="4"/>
      <c r="I38" s="3"/>
    </row>
    <row r="39" spans="2:9">
      <c r="B39" s="4" t="s">
        <v>32</v>
      </c>
      <c r="C39" s="4" t="s">
        <v>10</v>
      </c>
      <c r="D39" s="4"/>
      <c r="E39" s="5">
        <f t="shared" si="3"/>
        <v>0</v>
      </c>
      <c r="F39" s="6">
        <f t="shared" si="4"/>
        <v>0</v>
      </c>
      <c r="G39" s="6">
        <f t="shared" si="5"/>
        <v>0</v>
      </c>
      <c r="H39" s="4"/>
      <c r="I39" s="3"/>
    </row>
    <row r="40" spans="2:9">
      <c r="B40" s="4" t="s">
        <v>33</v>
      </c>
      <c r="C40" s="4" t="s">
        <v>10</v>
      </c>
      <c r="D40" s="4">
        <v>7300</v>
      </c>
      <c r="E40" s="5">
        <f t="shared" si="3"/>
        <v>710.533333333333</v>
      </c>
      <c r="F40" s="6">
        <f t="shared" si="4"/>
        <v>355.266666666667</v>
      </c>
      <c r="G40" s="6">
        <f t="shared" si="5"/>
        <v>236.844444444444</v>
      </c>
      <c r="H40" s="4"/>
      <c r="I40" s="3"/>
    </row>
    <row r="41" spans="2:9">
      <c r="B41" s="4" t="s">
        <v>34</v>
      </c>
      <c r="C41" s="4" t="s">
        <v>10</v>
      </c>
      <c r="D41" s="4">
        <v>9999</v>
      </c>
      <c r="E41" s="5">
        <f t="shared" si="3"/>
        <v>973.236</v>
      </c>
      <c r="F41" s="6">
        <f t="shared" si="4"/>
        <v>486.618</v>
      </c>
      <c r="G41" s="6">
        <f t="shared" si="5"/>
        <v>324.412</v>
      </c>
      <c r="H41" s="4"/>
      <c r="I41" s="3"/>
    </row>
    <row r="42" spans="2:9">
      <c r="B42" s="4"/>
      <c r="C42" s="4"/>
      <c r="D42" s="4"/>
      <c r="E42" s="5">
        <f t="shared" si="3"/>
        <v>0</v>
      </c>
      <c r="F42" s="6">
        <f t="shared" si="4"/>
        <v>0</v>
      </c>
      <c r="G42" s="6">
        <f t="shared" si="5"/>
        <v>0</v>
      </c>
      <c r="H42" s="4"/>
      <c r="I42" s="3"/>
    </row>
    <row r="43" spans="2:9">
      <c r="B43" s="4" t="s">
        <v>35</v>
      </c>
      <c r="C43" s="4" t="s">
        <v>10</v>
      </c>
      <c r="D43" s="4">
        <v>15499</v>
      </c>
      <c r="E43" s="5">
        <f t="shared" ref="E43:E74" si="6">SUM(((D43*0.168)+D43)/12)</f>
        <v>1508.56933333333</v>
      </c>
      <c r="F43" s="6">
        <f t="shared" ref="F43:F74" si="7">SUM(((D43*0.168)+D43)/24)</f>
        <v>754.284666666667</v>
      </c>
      <c r="G43" s="6">
        <f t="shared" ref="G43:G74" si="8">SUM(((D43*0.168)+D43)/36)</f>
        <v>502.856444444444</v>
      </c>
      <c r="H43" s="4"/>
      <c r="I43" s="3"/>
    </row>
    <row r="44" spans="2:9">
      <c r="B44" s="4" t="s">
        <v>36</v>
      </c>
      <c r="C44" s="4" t="s">
        <v>10</v>
      </c>
      <c r="D44" s="4">
        <v>17999</v>
      </c>
      <c r="E44" s="5">
        <f t="shared" si="6"/>
        <v>1751.90266666667</v>
      </c>
      <c r="F44" s="6">
        <f t="shared" si="7"/>
        <v>875.951333333333</v>
      </c>
      <c r="G44" s="6">
        <f t="shared" si="8"/>
        <v>583.967555555556</v>
      </c>
      <c r="H44" s="4"/>
      <c r="I44" s="3"/>
    </row>
    <row r="45" spans="2:9">
      <c r="B45" s="4" t="s">
        <v>37</v>
      </c>
      <c r="C45" s="4" t="s">
        <v>10</v>
      </c>
      <c r="D45" s="4">
        <v>21999</v>
      </c>
      <c r="E45" s="5">
        <f t="shared" si="6"/>
        <v>2141.236</v>
      </c>
      <c r="F45" s="6">
        <f t="shared" si="7"/>
        <v>1070.618</v>
      </c>
      <c r="G45" s="6">
        <f t="shared" si="8"/>
        <v>713.745333333333</v>
      </c>
      <c r="H45" s="4"/>
      <c r="I45" s="3"/>
    </row>
    <row r="46" spans="2:9">
      <c r="B46" s="4" t="s">
        <v>38</v>
      </c>
      <c r="C46" s="4" t="s">
        <v>23</v>
      </c>
      <c r="D46" s="4">
        <v>23999</v>
      </c>
      <c r="E46" s="5">
        <f t="shared" si="6"/>
        <v>2335.90266666667</v>
      </c>
      <c r="F46" s="6">
        <f t="shared" si="7"/>
        <v>1167.95133333333</v>
      </c>
      <c r="G46" s="6">
        <f t="shared" si="8"/>
        <v>778.634222222222</v>
      </c>
      <c r="H46" s="4"/>
      <c r="I46" s="3"/>
    </row>
    <row r="47" spans="2:9">
      <c r="B47" s="4" t="s">
        <v>39</v>
      </c>
      <c r="C47" s="4" t="s">
        <v>10</v>
      </c>
      <c r="D47" s="4">
        <v>17499</v>
      </c>
      <c r="E47" s="5">
        <f t="shared" si="6"/>
        <v>1703.236</v>
      </c>
      <c r="F47" s="6">
        <f t="shared" si="7"/>
        <v>851.618</v>
      </c>
      <c r="G47" s="6">
        <f t="shared" si="8"/>
        <v>567.745333333333</v>
      </c>
      <c r="H47" s="4"/>
      <c r="I47" s="3"/>
    </row>
    <row r="48" spans="2:9">
      <c r="B48" s="4" t="s">
        <v>40</v>
      </c>
      <c r="C48" s="4" t="s">
        <v>10</v>
      </c>
      <c r="D48" s="4">
        <v>19999</v>
      </c>
      <c r="E48" s="5">
        <f t="shared" si="6"/>
        <v>1946.56933333333</v>
      </c>
      <c r="F48" s="6">
        <f t="shared" si="7"/>
        <v>973.284666666667</v>
      </c>
      <c r="G48" s="6">
        <f t="shared" si="8"/>
        <v>648.856444444444</v>
      </c>
      <c r="H48" s="4"/>
      <c r="I48" s="3"/>
    </row>
    <row r="49" spans="2:9">
      <c r="B49" s="4" t="s">
        <v>41</v>
      </c>
      <c r="C49" s="4" t="s">
        <v>10</v>
      </c>
      <c r="D49" s="4">
        <v>24999</v>
      </c>
      <c r="E49" s="5">
        <f t="shared" si="6"/>
        <v>2433.236</v>
      </c>
      <c r="F49" s="6">
        <f t="shared" si="7"/>
        <v>1216.618</v>
      </c>
      <c r="G49" s="6">
        <f t="shared" si="8"/>
        <v>811.078666666667</v>
      </c>
      <c r="H49" s="4"/>
      <c r="I49" s="3"/>
    </row>
    <row r="50" spans="2:9">
      <c r="B50" s="4" t="s">
        <v>41</v>
      </c>
      <c r="C50" s="4" t="s">
        <v>23</v>
      </c>
      <c r="D50" s="4">
        <v>27999</v>
      </c>
      <c r="E50" s="5">
        <f t="shared" si="6"/>
        <v>2725.236</v>
      </c>
      <c r="F50" s="6">
        <f t="shared" si="7"/>
        <v>1362.618</v>
      </c>
      <c r="G50" s="6">
        <f t="shared" si="8"/>
        <v>908.412</v>
      </c>
      <c r="H50" s="4"/>
      <c r="I50" s="3"/>
    </row>
    <row r="51" spans="2:9">
      <c r="B51" s="3"/>
      <c r="C51" s="3"/>
      <c r="D51" s="3"/>
      <c r="E51" s="5">
        <f t="shared" si="6"/>
        <v>0</v>
      </c>
      <c r="F51" s="6">
        <f t="shared" si="7"/>
        <v>0</v>
      </c>
      <c r="G51" s="6">
        <f t="shared" si="8"/>
        <v>0</v>
      </c>
      <c r="H51" s="3"/>
      <c r="I51" s="3"/>
    </row>
    <row r="52" ht="23.2" spans="2:9">
      <c r="B52" s="2" t="s">
        <v>42</v>
      </c>
      <c r="C52" s="3"/>
      <c r="D52" s="3"/>
      <c r="E52" s="5">
        <f t="shared" si="6"/>
        <v>0</v>
      </c>
      <c r="F52" s="6">
        <f t="shared" si="7"/>
        <v>0</v>
      </c>
      <c r="G52" s="6">
        <f t="shared" si="8"/>
        <v>0</v>
      </c>
      <c r="H52" s="3"/>
      <c r="I52" s="3"/>
    </row>
    <row r="53" spans="2:9">
      <c r="B53" s="3"/>
      <c r="C53" s="3"/>
      <c r="D53" s="3"/>
      <c r="E53" s="5">
        <f t="shared" si="6"/>
        <v>0</v>
      </c>
      <c r="F53" s="6">
        <f t="shared" si="7"/>
        <v>0</v>
      </c>
      <c r="G53" s="6">
        <f t="shared" si="8"/>
        <v>0</v>
      </c>
      <c r="H53" s="3"/>
      <c r="I53" s="3"/>
    </row>
    <row r="54" spans="2:9">
      <c r="B54" s="3" t="s">
        <v>43</v>
      </c>
      <c r="C54" s="3" t="s">
        <v>44</v>
      </c>
      <c r="D54" s="3">
        <v>13999</v>
      </c>
      <c r="E54" s="5">
        <f t="shared" si="6"/>
        <v>1362.56933333333</v>
      </c>
      <c r="F54" s="6">
        <f t="shared" si="7"/>
        <v>681.284666666667</v>
      </c>
      <c r="G54" s="6">
        <f t="shared" si="8"/>
        <v>454.189777777778</v>
      </c>
      <c r="H54" s="3"/>
      <c r="I54" s="3"/>
    </row>
    <row r="55" spans="2:9">
      <c r="B55" s="3" t="s">
        <v>45</v>
      </c>
      <c r="C55" s="3" t="s">
        <v>44</v>
      </c>
      <c r="D55" s="3">
        <v>12999</v>
      </c>
      <c r="E55" s="5">
        <f t="shared" si="6"/>
        <v>1265.236</v>
      </c>
      <c r="F55" s="6">
        <f t="shared" si="7"/>
        <v>632.618</v>
      </c>
      <c r="G55" s="6">
        <f t="shared" si="8"/>
        <v>421.745333333333</v>
      </c>
      <c r="H55" s="3"/>
      <c r="I55" s="3"/>
    </row>
    <row r="56" spans="2:9">
      <c r="B56" s="3" t="s">
        <v>46</v>
      </c>
      <c r="C56" s="3" t="s">
        <v>47</v>
      </c>
      <c r="D56" s="3">
        <v>17999</v>
      </c>
      <c r="E56" s="5">
        <f t="shared" si="6"/>
        <v>1751.90266666667</v>
      </c>
      <c r="F56" s="6">
        <f t="shared" si="7"/>
        <v>875.951333333333</v>
      </c>
      <c r="G56" s="6">
        <f t="shared" si="8"/>
        <v>583.967555555556</v>
      </c>
      <c r="H56" s="3"/>
      <c r="I56" s="3"/>
    </row>
    <row r="57" spans="2:9">
      <c r="B57" s="3" t="s">
        <v>48</v>
      </c>
      <c r="C57" s="3"/>
      <c r="D57" s="3">
        <v>1599</v>
      </c>
      <c r="E57" s="5">
        <f t="shared" si="6"/>
        <v>155.636</v>
      </c>
      <c r="F57" s="6">
        <f t="shared" si="7"/>
        <v>77.818</v>
      </c>
      <c r="G57" s="6">
        <f t="shared" si="8"/>
        <v>51.8786666666667</v>
      </c>
      <c r="H57" s="3"/>
      <c r="I57" s="3"/>
    </row>
    <row r="58" spans="2:9">
      <c r="B58" s="3" t="s">
        <v>49</v>
      </c>
      <c r="C58" s="3"/>
      <c r="D58" s="3">
        <v>4999</v>
      </c>
      <c r="E58" s="5">
        <f t="shared" si="6"/>
        <v>486.569333333333</v>
      </c>
      <c r="F58" s="6">
        <f t="shared" si="7"/>
        <v>243.284666666667</v>
      </c>
      <c r="G58" s="6">
        <f t="shared" si="8"/>
        <v>162.189777777778</v>
      </c>
      <c r="H58" s="3"/>
      <c r="I58" s="3"/>
    </row>
    <row r="59" spans="2:9">
      <c r="B59" s="3" t="s">
        <v>50</v>
      </c>
      <c r="C59" s="3"/>
      <c r="D59" s="3">
        <v>699</v>
      </c>
      <c r="E59" s="5">
        <f t="shared" si="6"/>
        <v>68.036</v>
      </c>
      <c r="F59" s="6">
        <f t="shared" si="7"/>
        <v>34.018</v>
      </c>
      <c r="G59" s="6">
        <f t="shared" si="8"/>
        <v>22.6786666666667</v>
      </c>
      <c r="H59" s="3"/>
      <c r="I59" s="3"/>
    </row>
    <row r="60" spans="2:9">
      <c r="B60" s="3"/>
      <c r="C60" s="3"/>
      <c r="D60" s="3"/>
      <c r="E60" s="5">
        <f t="shared" si="6"/>
        <v>0</v>
      </c>
      <c r="F60" s="6">
        <f t="shared" si="7"/>
        <v>0</v>
      </c>
      <c r="G60" s="6">
        <f t="shared" si="8"/>
        <v>0</v>
      </c>
      <c r="H60" s="3"/>
      <c r="I60" s="3"/>
    </row>
    <row r="61" spans="2:9">
      <c r="B61" s="3" t="s">
        <v>51</v>
      </c>
      <c r="C61" s="3" t="s">
        <v>44</v>
      </c>
      <c r="D61" s="3">
        <v>15999</v>
      </c>
      <c r="E61" s="5">
        <f t="shared" si="6"/>
        <v>1557.236</v>
      </c>
      <c r="F61" s="6">
        <f t="shared" si="7"/>
        <v>778.618</v>
      </c>
      <c r="G61" s="6">
        <f t="shared" si="8"/>
        <v>519.078666666667</v>
      </c>
      <c r="H61" s="3"/>
      <c r="I61" s="3"/>
    </row>
    <row r="62" spans="2:9">
      <c r="B62" s="3" t="s">
        <v>52</v>
      </c>
      <c r="C62" s="3"/>
      <c r="D62" s="3">
        <v>1499</v>
      </c>
      <c r="E62" s="5">
        <f t="shared" si="6"/>
        <v>145.902666666667</v>
      </c>
      <c r="F62" s="6">
        <f t="shared" si="7"/>
        <v>72.9513333333333</v>
      </c>
      <c r="G62" s="6">
        <f t="shared" si="8"/>
        <v>48.6342222222222</v>
      </c>
      <c r="H62" s="3"/>
      <c r="I62" s="3"/>
    </row>
    <row r="63" spans="2:9">
      <c r="B63" s="3" t="s">
        <v>53</v>
      </c>
      <c r="C63" s="3"/>
      <c r="D63" s="3">
        <v>2499</v>
      </c>
      <c r="E63" s="5">
        <f t="shared" si="6"/>
        <v>243.236</v>
      </c>
      <c r="F63" s="6">
        <f t="shared" si="7"/>
        <v>121.618</v>
      </c>
      <c r="G63" s="6">
        <f t="shared" si="8"/>
        <v>81.0786666666667</v>
      </c>
      <c r="H63" s="3"/>
      <c r="I63" s="3"/>
    </row>
    <row r="64" spans="2:9">
      <c r="B64" s="3" t="s">
        <v>54</v>
      </c>
      <c r="C64" s="3"/>
      <c r="D64" s="3">
        <v>2499</v>
      </c>
      <c r="E64" s="5">
        <f t="shared" si="6"/>
        <v>243.236</v>
      </c>
      <c r="F64" s="6">
        <f t="shared" si="7"/>
        <v>121.618</v>
      </c>
      <c r="G64" s="6">
        <f t="shared" si="8"/>
        <v>81.0786666666667</v>
      </c>
      <c r="H64" s="3"/>
      <c r="I64" s="3"/>
    </row>
    <row r="65" spans="2:9">
      <c r="B65" s="3" t="s">
        <v>55</v>
      </c>
      <c r="C65" s="3"/>
      <c r="D65" s="3">
        <v>2499</v>
      </c>
      <c r="E65" s="5">
        <f t="shared" si="6"/>
        <v>243.236</v>
      </c>
      <c r="F65" s="6">
        <f t="shared" si="7"/>
        <v>121.618</v>
      </c>
      <c r="G65" s="6">
        <f t="shared" si="8"/>
        <v>81.0786666666667</v>
      </c>
      <c r="H65" s="3"/>
      <c r="I65" s="3"/>
    </row>
    <row r="66" spans="2:9">
      <c r="B66" s="3" t="s">
        <v>56</v>
      </c>
      <c r="C66" s="3" t="s">
        <v>57</v>
      </c>
      <c r="D66" s="3">
        <v>11999</v>
      </c>
      <c r="E66" s="5">
        <f t="shared" si="6"/>
        <v>1167.90266666667</v>
      </c>
      <c r="F66" s="6">
        <f t="shared" si="7"/>
        <v>583.951333333333</v>
      </c>
      <c r="G66" s="6">
        <f t="shared" si="8"/>
        <v>389.300888888889</v>
      </c>
      <c r="H66" s="3"/>
      <c r="I66" s="3"/>
    </row>
    <row r="67" spans="2:9">
      <c r="B67" s="3" t="s">
        <v>56</v>
      </c>
      <c r="C67" s="3"/>
      <c r="D67" s="3">
        <v>6999</v>
      </c>
      <c r="E67" s="5">
        <f t="shared" si="6"/>
        <v>681.236</v>
      </c>
      <c r="F67" s="6">
        <f t="shared" si="7"/>
        <v>340.618</v>
      </c>
      <c r="G67" s="6">
        <f t="shared" si="8"/>
        <v>227.078666666667</v>
      </c>
      <c r="H67" s="3"/>
      <c r="I67" s="3"/>
    </row>
    <row r="68" spans="2:9">
      <c r="B68" s="3" t="s">
        <v>58</v>
      </c>
      <c r="C68" s="3"/>
      <c r="D68" s="3">
        <v>3800</v>
      </c>
      <c r="E68" s="5">
        <f t="shared" si="6"/>
        <v>369.866666666667</v>
      </c>
      <c r="F68" s="6">
        <f t="shared" si="7"/>
        <v>184.933333333333</v>
      </c>
      <c r="G68" s="6">
        <f t="shared" si="8"/>
        <v>123.288888888889</v>
      </c>
      <c r="H68" s="3"/>
      <c r="I68" s="3"/>
    </row>
    <row r="69" spans="2:9">
      <c r="B69" s="3" t="s">
        <v>59</v>
      </c>
      <c r="C69" s="3"/>
      <c r="D69" s="3">
        <v>9999</v>
      </c>
      <c r="E69" s="5">
        <f t="shared" si="6"/>
        <v>973.236</v>
      </c>
      <c r="F69" s="6">
        <f t="shared" si="7"/>
        <v>486.618</v>
      </c>
      <c r="G69" s="6">
        <f t="shared" si="8"/>
        <v>324.412</v>
      </c>
      <c r="H69" s="3"/>
      <c r="I69" s="3"/>
    </row>
    <row r="70" spans="5:7">
      <c r="E70" s="5">
        <f t="shared" si="6"/>
        <v>0</v>
      </c>
      <c r="F70" s="6">
        <f t="shared" si="7"/>
        <v>0</v>
      </c>
      <c r="G70" s="6">
        <f t="shared" si="8"/>
        <v>0</v>
      </c>
    </row>
    <row r="71" spans="2:7">
      <c r="B71" s="3" t="s">
        <v>60</v>
      </c>
      <c r="C71" s="3"/>
      <c r="D71" s="3">
        <v>5999</v>
      </c>
      <c r="E71" s="5">
        <f t="shared" si="6"/>
        <v>583.902666666667</v>
      </c>
      <c r="F71" s="6">
        <f t="shared" si="7"/>
        <v>291.951333333333</v>
      </c>
      <c r="G71" s="6">
        <f t="shared" si="8"/>
        <v>194.634222222222</v>
      </c>
    </row>
    <row r="72" spans="2:7">
      <c r="B72" s="3"/>
      <c r="C72" s="3"/>
      <c r="D72" s="3"/>
      <c r="E72" s="5">
        <f t="shared" si="6"/>
        <v>0</v>
      </c>
      <c r="F72" s="6">
        <f t="shared" si="7"/>
        <v>0</v>
      </c>
      <c r="G72" s="6">
        <f t="shared" si="8"/>
        <v>0</v>
      </c>
    </row>
    <row r="73" spans="2:7">
      <c r="B73" s="3" t="s">
        <v>61</v>
      </c>
      <c r="C73" s="3" t="s">
        <v>62</v>
      </c>
      <c r="D73" s="3">
        <v>17999</v>
      </c>
      <c r="E73" s="5">
        <f t="shared" si="6"/>
        <v>1751.90266666667</v>
      </c>
      <c r="F73" s="6">
        <f t="shared" si="7"/>
        <v>875.951333333333</v>
      </c>
      <c r="G73" s="6">
        <f t="shared" si="8"/>
        <v>583.967555555556</v>
      </c>
    </row>
    <row r="74" spans="2:7">
      <c r="B74" s="3" t="s">
        <v>63</v>
      </c>
      <c r="C74" s="3" t="s">
        <v>64</v>
      </c>
      <c r="D74" s="3">
        <v>8999</v>
      </c>
      <c r="E74" s="5">
        <f t="shared" si="6"/>
        <v>875.902666666667</v>
      </c>
      <c r="F74" s="6">
        <f t="shared" si="7"/>
        <v>437.951333333333</v>
      </c>
      <c r="G74" s="6">
        <f t="shared" si="8"/>
        <v>291.967555555556</v>
      </c>
    </row>
    <row r="75" spans="2:7">
      <c r="B75" s="3" t="s">
        <v>65</v>
      </c>
      <c r="C75" s="3" t="s">
        <v>66</v>
      </c>
      <c r="D75" s="3">
        <v>6499</v>
      </c>
      <c r="E75" s="5">
        <f t="shared" ref="E75:E109" si="9">SUM(((D75*0.168)+D75)/12)</f>
        <v>632.569333333333</v>
      </c>
      <c r="F75" s="6">
        <f t="shared" ref="F75:F109" si="10">SUM(((D75*0.168)+D75)/24)</f>
        <v>316.284666666667</v>
      </c>
      <c r="G75" s="6">
        <f t="shared" ref="G75:G109" si="11">SUM(((D75*0.168)+D75)/36)</f>
        <v>210.856444444444</v>
      </c>
    </row>
    <row r="76" spans="2:7">
      <c r="B76" s="3" t="s">
        <v>65</v>
      </c>
      <c r="C76" s="3" t="s">
        <v>67</v>
      </c>
      <c r="D76" s="3">
        <v>5999</v>
      </c>
      <c r="E76" s="5">
        <f t="shared" si="9"/>
        <v>583.902666666667</v>
      </c>
      <c r="F76" s="6">
        <f t="shared" si="10"/>
        <v>291.951333333333</v>
      </c>
      <c r="G76" s="6">
        <f t="shared" si="11"/>
        <v>194.634222222222</v>
      </c>
    </row>
    <row r="77" spans="2:7">
      <c r="B77" s="3" t="s">
        <v>68</v>
      </c>
      <c r="C77" s="3" t="s">
        <v>66</v>
      </c>
      <c r="D77" s="3">
        <v>5499</v>
      </c>
      <c r="E77" s="5">
        <f t="shared" si="9"/>
        <v>535.236</v>
      </c>
      <c r="F77" s="6">
        <f t="shared" si="10"/>
        <v>267.618</v>
      </c>
      <c r="G77" s="6">
        <f t="shared" si="11"/>
        <v>178.412</v>
      </c>
    </row>
    <row r="78" spans="2:7">
      <c r="B78" s="3" t="s">
        <v>68</v>
      </c>
      <c r="C78" s="3" t="s">
        <v>67</v>
      </c>
      <c r="D78" s="3">
        <v>4999</v>
      </c>
      <c r="E78" s="5">
        <f t="shared" si="9"/>
        <v>486.569333333333</v>
      </c>
      <c r="F78" s="6">
        <f t="shared" si="10"/>
        <v>243.284666666667</v>
      </c>
      <c r="G78" s="6">
        <f t="shared" si="11"/>
        <v>162.189777777778</v>
      </c>
    </row>
    <row r="79" spans="2:7">
      <c r="B79" s="3"/>
      <c r="C79" s="3"/>
      <c r="D79" s="3"/>
      <c r="E79" s="5">
        <f t="shared" si="9"/>
        <v>0</v>
      </c>
      <c r="F79" s="6">
        <f t="shared" si="10"/>
        <v>0</v>
      </c>
      <c r="G79" s="6">
        <f t="shared" si="11"/>
        <v>0</v>
      </c>
    </row>
    <row r="80" spans="2:7">
      <c r="B80" s="3" t="s">
        <v>69</v>
      </c>
      <c r="C80" s="3" t="s">
        <v>66</v>
      </c>
      <c r="D80" s="3">
        <v>4499</v>
      </c>
      <c r="E80" s="5">
        <f t="shared" si="9"/>
        <v>437.902666666667</v>
      </c>
      <c r="F80" s="6">
        <f t="shared" si="10"/>
        <v>218.951333333333</v>
      </c>
      <c r="G80" s="6">
        <f t="shared" si="11"/>
        <v>145.967555555556</v>
      </c>
    </row>
    <row r="81" spans="2:7">
      <c r="B81" s="3" t="s">
        <v>69</v>
      </c>
      <c r="C81" s="3" t="s">
        <v>67</v>
      </c>
      <c r="D81" s="3">
        <v>3999</v>
      </c>
      <c r="E81" s="5">
        <f t="shared" si="9"/>
        <v>389.236</v>
      </c>
      <c r="F81" s="6">
        <f t="shared" si="10"/>
        <v>194.618</v>
      </c>
      <c r="G81" s="6">
        <f t="shared" si="11"/>
        <v>129.745333333333</v>
      </c>
    </row>
    <row r="82" spans="2:7">
      <c r="B82" s="3" t="s">
        <v>70</v>
      </c>
      <c r="C82" s="3" t="s">
        <v>71</v>
      </c>
      <c r="D82" s="3">
        <v>7999</v>
      </c>
      <c r="E82" s="5">
        <f t="shared" si="9"/>
        <v>778.569333333333</v>
      </c>
      <c r="F82" s="6">
        <f t="shared" si="10"/>
        <v>389.284666666667</v>
      </c>
      <c r="G82" s="6">
        <f t="shared" si="11"/>
        <v>259.523111111111</v>
      </c>
    </row>
    <row r="83" spans="2:7">
      <c r="B83" s="3" t="s">
        <v>72</v>
      </c>
      <c r="C83" s="3" t="s">
        <v>66</v>
      </c>
      <c r="D83" s="3">
        <v>5999</v>
      </c>
      <c r="E83" s="5">
        <f t="shared" si="9"/>
        <v>583.902666666667</v>
      </c>
      <c r="F83" s="6">
        <f t="shared" si="10"/>
        <v>291.951333333333</v>
      </c>
      <c r="G83" s="6">
        <f t="shared" si="11"/>
        <v>194.634222222222</v>
      </c>
    </row>
    <row r="84" spans="2:7">
      <c r="B84" s="3" t="s">
        <v>72</v>
      </c>
      <c r="C84" s="3" t="s">
        <v>67</v>
      </c>
      <c r="D84" s="3">
        <v>5499</v>
      </c>
      <c r="E84" s="5">
        <f t="shared" si="9"/>
        <v>535.236</v>
      </c>
      <c r="F84" s="6">
        <f t="shared" si="10"/>
        <v>267.618</v>
      </c>
      <c r="G84" s="6">
        <f t="shared" si="11"/>
        <v>178.412</v>
      </c>
    </row>
    <row r="85" spans="2:7">
      <c r="B85" s="3" t="s">
        <v>73</v>
      </c>
      <c r="C85" s="3" t="s">
        <v>71</v>
      </c>
      <c r="D85" s="3">
        <v>9999</v>
      </c>
      <c r="E85" s="5">
        <f t="shared" si="9"/>
        <v>973.236</v>
      </c>
      <c r="F85" s="6">
        <f t="shared" si="10"/>
        <v>486.618</v>
      </c>
      <c r="G85" s="6">
        <f t="shared" si="11"/>
        <v>324.412</v>
      </c>
    </row>
    <row r="86" spans="2:7">
      <c r="B86" s="3" t="s">
        <v>74</v>
      </c>
      <c r="C86" s="3" t="s">
        <v>75</v>
      </c>
      <c r="D86" s="3">
        <v>7999</v>
      </c>
      <c r="E86" s="5">
        <f t="shared" si="9"/>
        <v>778.569333333333</v>
      </c>
      <c r="F86" s="6">
        <f t="shared" si="10"/>
        <v>389.284666666667</v>
      </c>
      <c r="G86" s="6">
        <f t="shared" si="11"/>
        <v>259.523111111111</v>
      </c>
    </row>
    <row r="87" spans="2:7">
      <c r="B87" s="3"/>
      <c r="C87" s="3"/>
      <c r="D87" s="3"/>
      <c r="E87" s="5">
        <f t="shared" si="9"/>
        <v>0</v>
      </c>
      <c r="F87" s="6">
        <f t="shared" si="10"/>
        <v>0</v>
      </c>
      <c r="G87" s="6">
        <f t="shared" si="11"/>
        <v>0</v>
      </c>
    </row>
    <row r="88" spans="2:7">
      <c r="B88" s="3" t="s">
        <v>76</v>
      </c>
      <c r="C88" s="3" t="s">
        <v>9</v>
      </c>
      <c r="D88" s="3">
        <v>7999</v>
      </c>
      <c r="E88" s="5">
        <f t="shared" si="9"/>
        <v>778.569333333333</v>
      </c>
      <c r="F88" s="6">
        <f t="shared" si="10"/>
        <v>389.284666666667</v>
      </c>
      <c r="G88" s="6">
        <f t="shared" si="11"/>
        <v>259.523111111111</v>
      </c>
    </row>
    <row r="89" spans="2:7">
      <c r="B89" s="3" t="s">
        <v>76</v>
      </c>
      <c r="C89" s="3" t="s">
        <v>10</v>
      </c>
      <c r="D89" s="3">
        <v>9499</v>
      </c>
      <c r="E89" s="5">
        <f t="shared" si="9"/>
        <v>924.569333333333</v>
      </c>
      <c r="F89" s="6">
        <f t="shared" si="10"/>
        <v>462.284666666667</v>
      </c>
      <c r="G89" s="6">
        <f t="shared" si="11"/>
        <v>308.189777777778</v>
      </c>
    </row>
    <row r="90" spans="2:7">
      <c r="B90" s="3" t="s">
        <v>77</v>
      </c>
      <c r="C90" s="3" t="s">
        <v>27</v>
      </c>
      <c r="D90" s="3">
        <v>6999</v>
      </c>
      <c r="E90" s="5">
        <f t="shared" si="9"/>
        <v>681.236</v>
      </c>
      <c r="F90" s="6">
        <f t="shared" si="10"/>
        <v>340.618</v>
      </c>
      <c r="G90" s="6">
        <f t="shared" si="11"/>
        <v>227.078666666667</v>
      </c>
    </row>
    <row r="91" spans="2:7">
      <c r="B91" s="3" t="s">
        <v>77</v>
      </c>
      <c r="C91" s="3" t="s">
        <v>10</v>
      </c>
      <c r="D91" s="3">
        <v>8499</v>
      </c>
      <c r="E91" s="5">
        <f t="shared" si="9"/>
        <v>827.236</v>
      </c>
      <c r="F91" s="6">
        <f t="shared" si="10"/>
        <v>413.618</v>
      </c>
      <c r="G91" s="6">
        <f t="shared" si="11"/>
        <v>275.745333333333</v>
      </c>
    </row>
    <row r="92" spans="2:7">
      <c r="B92" s="3" t="s">
        <v>78</v>
      </c>
      <c r="C92" s="3" t="s">
        <v>10</v>
      </c>
      <c r="D92" s="3">
        <v>24999</v>
      </c>
      <c r="E92" s="5">
        <f t="shared" si="9"/>
        <v>2433.236</v>
      </c>
      <c r="F92" s="6">
        <f t="shared" si="10"/>
        <v>1216.618</v>
      </c>
      <c r="G92" s="6">
        <f t="shared" si="11"/>
        <v>811.078666666667</v>
      </c>
    </row>
    <row r="93" spans="2:7">
      <c r="B93" s="3" t="s">
        <v>79</v>
      </c>
      <c r="C93" s="3" t="s">
        <v>10</v>
      </c>
      <c r="D93" s="3"/>
      <c r="E93" s="5">
        <f t="shared" si="9"/>
        <v>0</v>
      </c>
      <c r="F93" s="6">
        <f t="shared" si="10"/>
        <v>0</v>
      </c>
      <c r="G93" s="6">
        <f t="shared" si="11"/>
        <v>0</v>
      </c>
    </row>
    <row r="94" spans="2:7">
      <c r="B94" s="3" t="s">
        <v>80</v>
      </c>
      <c r="C94" s="3" t="s">
        <v>10</v>
      </c>
      <c r="D94" s="3">
        <v>19999</v>
      </c>
      <c r="E94" s="5">
        <f t="shared" si="9"/>
        <v>1946.56933333333</v>
      </c>
      <c r="F94" s="6">
        <f t="shared" si="10"/>
        <v>973.284666666667</v>
      </c>
      <c r="G94" s="6">
        <f t="shared" si="11"/>
        <v>648.856444444444</v>
      </c>
    </row>
    <row r="95" spans="2:7">
      <c r="B95" s="3" t="s">
        <v>81</v>
      </c>
      <c r="C95" s="3" t="s">
        <v>82</v>
      </c>
      <c r="D95" s="3">
        <v>25999</v>
      </c>
      <c r="E95" s="5">
        <f t="shared" si="9"/>
        <v>2530.56933333333</v>
      </c>
      <c r="F95" s="6">
        <f t="shared" si="10"/>
        <v>1265.28466666667</v>
      </c>
      <c r="G95" s="6">
        <f t="shared" si="11"/>
        <v>843.523111111111</v>
      </c>
    </row>
    <row r="96" spans="2:7">
      <c r="B96" s="3" t="s">
        <v>83</v>
      </c>
      <c r="C96" s="3" t="s">
        <v>10</v>
      </c>
      <c r="D96" s="3">
        <v>19999</v>
      </c>
      <c r="E96" s="5">
        <f t="shared" si="9"/>
        <v>1946.56933333333</v>
      </c>
      <c r="F96" s="6">
        <f t="shared" si="10"/>
        <v>973.284666666667</v>
      </c>
      <c r="G96" s="6">
        <f t="shared" si="11"/>
        <v>648.856444444444</v>
      </c>
    </row>
    <row r="97" spans="2:7">
      <c r="B97" s="3"/>
      <c r="C97" s="3"/>
      <c r="D97" s="3"/>
      <c r="E97" s="5">
        <f t="shared" si="9"/>
        <v>0</v>
      </c>
      <c r="F97" s="6">
        <f t="shared" si="10"/>
        <v>0</v>
      </c>
      <c r="G97" s="6">
        <f t="shared" si="11"/>
        <v>0</v>
      </c>
    </row>
    <row r="98" spans="2:7">
      <c r="B98" s="3" t="s">
        <v>84</v>
      </c>
      <c r="C98" s="3" t="s">
        <v>27</v>
      </c>
      <c r="D98" s="3">
        <v>2999</v>
      </c>
      <c r="E98" s="5">
        <f t="shared" si="9"/>
        <v>291.902666666667</v>
      </c>
      <c r="F98" s="6">
        <f t="shared" si="10"/>
        <v>145.951333333333</v>
      </c>
      <c r="G98" s="6">
        <f t="shared" si="11"/>
        <v>97.3008888888889</v>
      </c>
    </row>
    <row r="99" spans="2:7">
      <c r="B99" s="3" t="s">
        <v>85</v>
      </c>
      <c r="C99" s="3" t="s">
        <v>9</v>
      </c>
      <c r="D99" s="3">
        <v>4999</v>
      </c>
      <c r="E99" s="5">
        <f t="shared" si="9"/>
        <v>486.569333333333</v>
      </c>
      <c r="F99" s="6">
        <f t="shared" si="10"/>
        <v>243.284666666667</v>
      </c>
      <c r="G99" s="6">
        <f t="shared" si="11"/>
        <v>162.189777777778</v>
      </c>
    </row>
    <row r="100" spans="2:7">
      <c r="B100" s="3" t="s">
        <v>86</v>
      </c>
      <c r="C100" s="3" t="s">
        <v>9</v>
      </c>
      <c r="D100" s="3">
        <v>5999</v>
      </c>
      <c r="E100" s="5">
        <f t="shared" si="9"/>
        <v>583.902666666667</v>
      </c>
      <c r="F100" s="6">
        <f t="shared" si="10"/>
        <v>291.951333333333</v>
      </c>
      <c r="G100" s="6">
        <f t="shared" si="11"/>
        <v>194.634222222222</v>
      </c>
    </row>
    <row r="101" spans="2:7">
      <c r="B101" s="3" t="s">
        <v>87</v>
      </c>
      <c r="C101" s="3" t="s">
        <v>10</v>
      </c>
      <c r="D101" s="3">
        <v>13499</v>
      </c>
      <c r="E101" s="5">
        <f t="shared" si="9"/>
        <v>1313.90266666667</v>
      </c>
      <c r="F101" s="6">
        <f t="shared" si="10"/>
        <v>656.951333333333</v>
      </c>
      <c r="G101" s="6">
        <f t="shared" si="11"/>
        <v>437.967555555556</v>
      </c>
    </row>
    <row r="102" spans="2:7">
      <c r="B102" s="3"/>
      <c r="C102" s="3"/>
      <c r="D102" s="3"/>
      <c r="E102" s="5">
        <f t="shared" si="9"/>
        <v>0</v>
      </c>
      <c r="F102" s="6">
        <f t="shared" si="10"/>
        <v>0</v>
      </c>
      <c r="G102" s="6">
        <f t="shared" si="11"/>
        <v>0</v>
      </c>
    </row>
    <row r="103" spans="2:7">
      <c r="B103" s="3" t="s">
        <v>88</v>
      </c>
      <c r="C103" s="3" t="s">
        <v>10</v>
      </c>
      <c r="D103" s="3">
        <v>12999</v>
      </c>
      <c r="E103" s="5">
        <f t="shared" si="9"/>
        <v>1265.236</v>
      </c>
      <c r="F103" s="6">
        <f t="shared" si="10"/>
        <v>632.618</v>
      </c>
      <c r="G103" s="6">
        <f t="shared" si="11"/>
        <v>421.745333333333</v>
      </c>
    </row>
    <row r="104" spans="2:7">
      <c r="B104" s="3" t="s">
        <v>89</v>
      </c>
      <c r="C104" s="3" t="s">
        <v>10</v>
      </c>
      <c r="D104" s="3">
        <v>16999</v>
      </c>
      <c r="E104" s="5">
        <f t="shared" si="9"/>
        <v>1654.56933333333</v>
      </c>
      <c r="F104" s="6">
        <f t="shared" si="10"/>
        <v>827.284666666667</v>
      </c>
      <c r="G104" s="6">
        <f t="shared" si="11"/>
        <v>551.523111111111</v>
      </c>
    </row>
    <row r="105" spans="2:7">
      <c r="B105" s="3" t="s">
        <v>90</v>
      </c>
      <c r="C105" s="3" t="s">
        <v>10</v>
      </c>
      <c r="D105" s="3">
        <v>19999</v>
      </c>
      <c r="E105" s="5">
        <f t="shared" si="9"/>
        <v>1946.56933333333</v>
      </c>
      <c r="F105" s="6">
        <f t="shared" si="10"/>
        <v>973.284666666667</v>
      </c>
      <c r="G105" s="6">
        <f t="shared" si="11"/>
        <v>648.856444444444</v>
      </c>
    </row>
    <row r="106" spans="2:7">
      <c r="B106" s="3" t="s">
        <v>90</v>
      </c>
      <c r="C106" s="3" t="s">
        <v>23</v>
      </c>
      <c r="D106" s="3">
        <v>24999</v>
      </c>
      <c r="E106" s="5">
        <f t="shared" si="9"/>
        <v>2433.236</v>
      </c>
      <c r="F106" s="6">
        <f t="shared" si="10"/>
        <v>1216.618</v>
      </c>
      <c r="G106" s="6">
        <f t="shared" si="11"/>
        <v>811.078666666667</v>
      </c>
    </row>
    <row r="107" spans="2:7">
      <c r="B107" s="3" t="s">
        <v>91</v>
      </c>
      <c r="C107" s="3" t="s">
        <v>10</v>
      </c>
      <c r="D107" s="3">
        <v>26999</v>
      </c>
      <c r="E107" s="5">
        <f t="shared" si="9"/>
        <v>2627.90266666667</v>
      </c>
      <c r="F107" s="6">
        <f t="shared" si="10"/>
        <v>1313.95133333333</v>
      </c>
      <c r="G107" s="6">
        <f t="shared" si="11"/>
        <v>875.967555555556</v>
      </c>
    </row>
    <row r="108" spans="2:7">
      <c r="B108" s="3" t="s">
        <v>91</v>
      </c>
      <c r="C108" s="3" t="s">
        <v>23</v>
      </c>
      <c r="D108" s="3">
        <v>31999</v>
      </c>
      <c r="E108" s="5">
        <f t="shared" si="9"/>
        <v>3114.56933333333</v>
      </c>
      <c r="F108" s="6">
        <f t="shared" si="10"/>
        <v>1557.28466666667</v>
      </c>
      <c r="G108" s="6">
        <f t="shared" si="11"/>
        <v>1038.18977777778</v>
      </c>
    </row>
    <row r="109" spans="2:7">
      <c r="B109" s="3"/>
      <c r="C109" s="3"/>
      <c r="D109" s="3"/>
      <c r="E109" s="5">
        <f t="shared" si="9"/>
        <v>0</v>
      </c>
      <c r="F109" s="6">
        <f t="shared" si="10"/>
        <v>0</v>
      </c>
      <c r="G109" s="6">
        <f t="shared" si="11"/>
        <v>0</v>
      </c>
    </row>
    <row r="110" spans="2:7">
      <c r="B110" s="3" t="s">
        <v>92</v>
      </c>
      <c r="C110" s="3" t="s">
        <v>93</v>
      </c>
      <c r="D110" s="3">
        <v>8999</v>
      </c>
      <c r="E110" s="5">
        <f t="shared" ref="E110:E149" si="12">SUM(((D110*0.168)+D110)/12)</f>
        <v>875.902666666667</v>
      </c>
      <c r="F110" s="6">
        <f t="shared" ref="F110:F149" si="13">SUM(((D110*0.168)+D110)/24)</f>
        <v>437.951333333333</v>
      </c>
      <c r="G110" s="6">
        <f t="shared" ref="G110:G149" si="14">SUM(((D110*0.168)+D110)/36)</f>
        <v>291.967555555556</v>
      </c>
    </row>
    <row r="111" spans="2:7">
      <c r="B111" s="3" t="s">
        <v>94</v>
      </c>
      <c r="C111" s="3" t="s">
        <v>95</v>
      </c>
      <c r="D111" s="3">
        <v>12999</v>
      </c>
      <c r="E111" s="5">
        <f t="shared" si="12"/>
        <v>1265.236</v>
      </c>
      <c r="F111" s="6">
        <f t="shared" si="13"/>
        <v>632.618</v>
      </c>
      <c r="G111" s="6">
        <f t="shared" si="14"/>
        <v>421.745333333333</v>
      </c>
    </row>
    <row r="112" spans="2:7">
      <c r="B112" s="3" t="s">
        <v>96</v>
      </c>
      <c r="C112" s="3" t="s">
        <v>95</v>
      </c>
      <c r="D112" s="3">
        <v>12999</v>
      </c>
      <c r="E112" s="5">
        <f t="shared" si="12"/>
        <v>1265.236</v>
      </c>
      <c r="F112" s="6">
        <f t="shared" si="13"/>
        <v>632.618</v>
      </c>
      <c r="G112" s="6">
        <f t="shared" si="14"/>
        <v>421.745333333333</v>
      </c>
    </row>
    <row r="113" spans="2:7">
      <c r="B113" s="3" t="s">
        <v>97</v>
      </c>
      <c r="C113" s="3" t="s">
        <v>95</v>
      </c>
      <c r="D113" s="3">
        <v>15999</v>
      </c>
      <c r="E113" s="5">
        <f t="shared" si="12"/>
        <v>1557.236</v>
      </c>
      <c r="F113" s="6">
        <f t="shared" si="13"/>
        <v>778.618</v>
      </c>
      <c r="G113" s="6">
        <f t="shared" si="14"/>
        <v>519.078666666667</v>
      </c>
    </row>
    <row r="114" spans="2:7">
      <c r="B114" s="3" t="s">
        <v>98</v>
      </c>
      <c r="C114" s="3" t="s">
        <v>95</v>
      </c>
      <c r="D114" s="3">
        <v>15999</v>
      </c>
      <c r="E114" s="5">
        <f t="shared" si="12"/>
        <v>1557.236</v>
      </c>
      <c r="F114" s="6">
        <f t="shared" si="13"/>
        <v>778.618</v>
      </c>
      <c r="G114" s="6">
        <f t="shared" si="14"/>
        <v>519.078666666667</v>
      </c>
    </row>
    <row r="115" spans="2:7">
      <c r="B115" s="3"/>
      <c r="C115" s="3"/>
      <c r="D115" s="3"/>
      <c r="E115" s="5">
        <f t="shared" si="12"/>
        <v>0</v>
      </c>
      <c r="F115" s="6">
        <f t="shared" si="13"/>
        <v>0</v>
      </c>
      <c r="G115" s="6">
        <f t="shared" si="14"/>
        <v>0</v>
      </c>
    </row>
    <row r="116" ht="23.2" spans="2:7">
      <c r="B116" s="2" t="s">
        <v>99</v>
      </c>
      <c r="C116" s="3"/>
      <c r="D116" s="3"/>
      <c r="E116" s="5">
        <f t="shared" si="12"/>
        <v>0</v>
      </c>
      <c r="F116" s="6">
        <f t="shared" si="13"/>
        <v>0</v>
      </c>
      <c r="G116" s="6">
        <f t="shared" si="14"/>
        <v>0</v>
      </c>
    </row>
    <row r="117" spans="2:7">
      <c r="B117" s="3"/>
      <c r="C117" s="3"/>
      <c r="D117" s="3"/>
      <c r="E117" s="5">
        <f t="shared" si="12"/>
        <v>0</v>
      </c>
      <c r="F117" s="6">
        <f t="shared" si="13"/>
        <v>0</v>
      </c>
      <c r="G117" s="6">
        <f t="shared" si="14"/>
        <v>0</v>
      </c>
    </row>
    <row r="118" spans="2:7">
      <c r="B118" s="3" t="s">
        <v>100</v>
      </c>
      <c r="C118" s="3" t="s">
        <v>27</v>
      </c>
      <c r="D118" s="3">
        <v>5999</v>
      </c>
      <c r="E118" s="5">
        <f t="shared" si="12"/>
        <v>583.902666666667</v>
      </c>
      <c r="F118" s="6">
        <f t="shared" si="13"/>
        <v>291.951333333333</v>
      </c>
      <c r="G118" s="6">
        <f t="shared" si="14"/>
        <v>194.634222222222</v>
      </c>
    </row>
    <row r="119" spans="2:7">
      <c r="B119" s="3" t="s">
        <v>101</v>
      </c>
      <c r="C119" s="3" t="s">
        <v>9</v>
      </c>
      <c r="D119" s="3">
        <v>6999</v>
      </c>
      <c r="E119" s="5">
        <f t="shared" si="12"/>
        <v>681.236</v>
      </c>
      <c r="F119" s="6">
        <f t="shared" si="13"/>
        <v>340.618</v>
      </c>
      <c r="G119" s="6">
        <f t="shared" si="14"/>
        <v>227.078666666667</v>
      </c>
    </row>
    <row r="120" spans="2:7">
      <c r="B120" s="3" t="s">
        <v>102</v>
      </c>
      <c r="C120" s="3" t="s">
        <v>10</v>
      </c>
      <c r="D120" s="3">
        <v>7499</v>
      </c>
      <c r="E120" s="5">
        <f t="shared" si="12"/>
        <v>729.902666666667</v>
      </c>
      <c r="F120" s="6">
        <f t="shared" si="13"/>
        <v>364.951333333333</v>
      </c>
      <c r="G120" s="6">
        <f t="shared" si="14"/>
        <v>243.300888888889</v>
      </c>
    </row>
    <row r="121" spans="2:7">
      <c r="B121" s="3" t="s">
        <v>103</v>
      </c>
      <c r="C121" s="3" t="s">
        <v>10</v>
      </c>
      <c r="D121" s="3">
        <v>8999</v>
      </c>
      <c r="E121" s="5">
        <f t="shared" si="12"/>
        <v>875.902666666667</v>
      </c>
      <c r="F121" s="6">
        <f t="shared" si="13"/>
        <v>437.951333333333</v>
      </c>
      <c r="G121" s="6">
        <f t="shared" si="14"/>
        <v>291.967555555556</v>
      </c>
    </row>
    <row r="122" spans="2:7">
      <c r="B122" s="3" t="s">
        <v>104</v>
      </c>
      <c r="C122" s="3" t="s">
        <v>9</v>
      </c>
      <c r="D122" s="3">
        <v>7999</v>
      </c>
      <c r="E122" s="5">
        <f t="shared" si="12"/>
        <v>778.569333333333</v>
      </c>
      <c r="F122" s="6">
        <f t="shared" si="13"/>
        <v>389.284666666667</v>
      </c>
      <c r="G122" s="6">
        <f t="shared" si="14"/>
        <v>259.523111111111</v>
      </c>
    </row>
    <row r="123" spans="2:7">
      <c r="B123" s="3" t="s">
        <v>105</v>
      </c>
      <c r="C123" s="3" t="s">
        <v>9</v>
      </c>
      <c r="D123" s="3">
        <v>8999</v>
      </c>
      <c r="E123" s="5">
        <f t="shared" si="12"/>
        <v>875.902666666667</v>
      </c>
      <c r="F123" s="6">
        <f t="shared" si="13"/>
        <v>437.951333333333</v>
      </c>
      <c r="G123" s="6">
        <f t="shared" si="14"/>
        <v>291.967555555556</v>
      </c>
    </row>
    <row r="124" spans="2:7">
      <c r="B124" s="3" t="s">
        <v>106</v>
      </c>
      <c r="C124" s="3" t="s">
        <v>10</v>
      </c>
      <c r="D124" s="3">
        <v>9999</v>
      </c>
      <c r="E124" s="5">
        <f t="shared" si="12"/>
        <v>973.236</v>
      </c>
      <c r="F124" s="6">
        <f t="shared" si="13"/>
        <v>486.618</v>
      </c>
      <c r="G124" s="6">
        <f t="shared" si="14"/>
        <v>324.412</v>
      </c>
    </row>
    <row r="125" spans="2:7">
      <c r="B125" s="3" t="s">
        <v>107</v>
      </c>
      <c r="C125" s="3" t="s">
        <v>9</v>
      </c>
      <c r="D125" s="3">
        <v>8499</v>
      </c>
      <c r="E125" s="5">
        <f t="shared" si="12"/>
        <v>827.236</v>
      </c>
      <c r="F125" s="6">
        <f t="shared" si="13"/>
        <v>413.618</v>
      </c>
      <c r="G125" s="6">
        <f t="shared" si="14"/>
        <v>275.745333333333</v>
      </c>
    </row>
    <row r="126" spans="2:7">
      <c r="B126" s="3" t="s">
        <v>108</v>
      </c>
      <c r="C126" s="3" t="s">
        <v>10</v>
      </c>
      <c r="D126" s="3">
        <v>9499</v>
      </c>
      <c r="E126" s="5">
        <f t="shared" si="12"/>
        <v>924.569333333333</v>
      </c>
      <c r="F126" s="6">
        <f t="shared" si="13"/>
        <v>462.284666666667</v>
      </c>
      <c r="G126" s="6">
        <f t="shared" si="14"/>
        <v>308.189777777778</v>
      </c>
    </row>
    <row r="127" spans="2:7">
      <c r="B127" s="3" t="s">
        <v>109</v>
      </c>
      <c r="C127" s="3" t="s">
        <v>9</v>
      </c>
      <c r="D127" s="3">
        <v>9999</v>
      </c>
      <c r="E127" s="5">
        <f t="shared" si="12"/>
        <v>973.236</v>
      </c>
      <c r="F127" s="6">
        <f t="shared" si="13"/>
        <v>486.618</v>
      </c>
      <c r="G127" s="6">
        <f t="shared" si="14"/>
        <v>324.412</v>
      </c>
    </row>
    <row r="128" spans="2:7">
      <c r="B128" s="3" t="s">
        <v>110</v>
      </c>
      <c r="C128" s="3" t="s">
        <v>10</v>
      </c>
      <c r="D128" s="3">
        <v>12999</v>
      </c>
      <c r="E128" s="5">
        <f t="shared" si="12"/>
        <v>1265.236</v>
      </c>
      <c r="F128" s="6">
        <f t="shared" si="13"/>
        <v>632.618</v>
      </c>
      <c r="G128" s="6">
        <f t="shared" si="14"/>
        <v>421.745333333333</v>
      </c>
    </row>
    <row r="129" spans="2:7">
      <c r="B129" s="3" t="s">
        <v>111</v>
      </c>
      <c r="C129" s="3" t="s">
        <v>9</v>
      </c>
      <c r="D129" s="3">
        <v>9999</v>
      </c>
      <c r="E129" s="5">
        <f t="shared" si="12"/>
        <v>973.236</v>
      </c>
      <c r="F129" s="6">
        <f t="shared" si="13"/>
        <v>486.618</v>
      </c>
      <c r="G129" s="6">
        <f t="shared" si="14"/>
        <v>324.412</v>
      </c>
    </row>
    <row r="130" spans="2:7">
      <c r="B130" s="3" t="s">
        <v>112</v>
      </c>
      <c r="C130" s="3" t="s">
        <v>9</v>
      </c>
      <c r="D130" s="3">
        <v>12999</v>
      </c>
      <c r="E130" s="5">
        <f t="shared" si="12"/>
        <v>1265.236</v>
      </c>
      <c r="F130" s="6">
        <f t="shared" si="13"/>
        <v>632.618</v>
      </c>
      <c r="G130" s="6">
        <f t="shared" si="14"/>
        <v>421.745333333333</v>
      </c>
    </row>
    <row r="131" spans="2:7">
      <c r="B131" s="3" t="s">
        <v>113</v>
      </c>
      <c r="C131" s="3" t="s">
        <v>10</v>
      </c>
      <c r="D131" s="3">
        <v>13999</v>
      </c>
      <c r="E131" s="5">
        <f t="shared" si="12"/>
        <v>1362.56933333333</v>
      </c>
      <c r="F131" s="6">
        <f t="shared" si="13"/>
        <v>681.284666666667</v>
      </c>
      <c r="G131" s="6">
        <f t="shared" si="14"/>
        <v>454.189777777778</v>
      </c>
    </row>
    <row r="132" spans="2:7">
      <c r="B132" s="3" t="s">
        <v>114</v>
      </c>
      <c r="C132" s="3" t="s">
        <v>10</v>
      </c>
      <c r="D132" s="3">
        <v>14999</v>
      </c>
      <c r="E132" s="5">
        <f t="shared" si="12"/>
        <v>1459.90266666667</v>
      </c>
      <c r="F132" s="6">
        <f t="shared" si="13"/>
        <v>729.951333333333</v>
      </c>
      <c r="G132" s="6">
        <f t="shared" si="14"/>
        <v>486.634222222222</v>
      </c>
    </row>
    <row r="133" spans="2:7">
      <c r="B133" s="3" t="s">
        <v>115</v>
      </c>
      <c r="C133" s="3" t="s">
        <v>9</v>
      </c>
      <c r="D133" s="3">
        <v>12999</v>
      </c>
      <c r="E133" s="5">
        <f t="shared" si="12"/>
        <v>1265.236</v>
      </c>
      <c r="F133" s="6">
        <f t="shared" si="13"/>
        <v>632.618</v>
      </c>
      <c r="G133" s="6">
        <f t="shared" si="14"/>
        <v>421.745333333333</v>
      </c>
    </row>
    <row r="134" spans="2:7">
      <c r="B134" s="3" t="s">
        <v>116</v>
      </c>
      <c r="C134" s="3" t="s">
        <v>9</v>
      </c>
      <c r="D134" s="3">
        <v>14999</v>
      </c>
      <c r="E134" s="5">
        <f t="shared" si="12"/>
        <v>1459.90266666667</v>
      </c>
      <c r="F134" s="6">
        <f t="shared" si="13"/>
        <v>729.951333333333</v>
      </c>
      <c r="G134" s="6">
        <f t="shared" si="14"/>
        <v>486.634222222222</v>
      </c>
    </row>
    <row r="135" spans="2:7">
      <c r="B135" s="3" t="s">
        <v>117</v>
      </c>
      <c r="C135" s="3" t="s">
        <v>10</v>
      </c>
      <c r="D135" s="3">
        <v>15999</v>
      </c>
      <c r="E135" s="5">
        <f t="shared" si="12"/>
        <v>1557.236</v>
      </c>
      <c r="F135" s="6">
        <f t="shared" si="13"/>
        <v>778.618</v>
      </c>
      <c r="G135" s="6">
        <f t="shared" si="14"/>
        <v>519.078666666667</v>
      </c>
    </row>
    <row r="136" spans="2:7">
      <c r="B136" s="3" t="s">
        <v>118</v>
      </c>
      <c r="C136" s="3" t="s">
        <v>9</v>
      </c>
      <c r="D136" s="3">
        <v>15999</v>
      </c>
      <c r="E136" s="5">
        <f t="shared" si="12"/>
        <v>1557.236</v>
      </c>
      <c r="F136" s="6">
        <f t="shared" si="13"/>
        <v>778.618</v>
      </c>
      <c r="G136" s="6">
        <f t="shared" si="14"/>
        <v>519.078666666667</v>
      </c>
    </row>
    <row r="137" spans="2:7">
      <c r="B137" s="3" t="s">
        <v>119</v>
      </c>
      <c r="C137" s="3" t="s">
        <v>9</v>
      </c>
      <c r="D137" s="3">
        <v>17999</v>
      </c>
      <c r="E137" s="5">
        <f t="shared" si="12"/>
        <v>1751.90266666667</v>
      </c>
      <c r="F137" s="6">
        <f t="shared" si="13"/>
        <v>875.951333333333</v>
      </c>
      <c r="G137" s="6">
        <f t="shared" si="14"/>
        <v>583.967555555556</v>
      </c>
    </row>
    <row r="138" spans="2:7">
      <c r="B138" s="3" t="s">
        <v>120</v>
      </c>
      <c r="C138" s="3" t="s">
        <v>10</v>
      </c>
      <c r="D138" s="3">
        <v>18999</v>
      </c>
      <c r="E138" s="5">
        <f t="shared" si="12"/>
        <v>1849.236</v>
      </c>
      <c r="F138" s="6">
        <f t="shared" si="13"/>
        <v>924.618</v>
      </c>
      <c r="G138" s="6">
        <f t="shared" si="14"/>
        <v>616.412</v>
      </c>
    </row>
    <row r="139" spans="2:7">
      <c r="B139" s="3" t="s">
        <v>121</v>
      </c>
      <c r="C139" s="3" t="s">
        <v>10</v>
      </c>
      <c r="D139" s="3">
        <v>23999</v>
      </c>
      <c r="E139" s="5">
        <f t="shared" si="12"/>
        <v>2335.90266666667</v>
      </c>
      <c r="F139" s="6">
        <f t="shared" si="13"/>
        <v>1167.95133333333</v>
      </c>
      <c r="G139" s="6">
        <f t="shared" si="14"/>
        <v>778.634222222222</v>
      </c>
    </row>
    <row r="140" spans="2:7">
      <c r="B140" s="3"/>
      <c r="C140" s="3"/>
      <c r="D140" s="3"/>
      <c r="E140" s="5">
        <f t="shared" si="12"/>
        <v>0</v>
      </c>
      <c r="F140" s="6">
        <f t="shared" si="13"/>
        <v>0</v>
      </c>
      <c r="G140" s="6">
        <f t="shared" si="14"/>
        <v>0</v>
      </c>
    </row>
    <row r="141" spans="2:7">
      <c r="B141" s="3" t="s">
        <v>122</v>
      </c>
      <c r="C141" s="3" t="s">
        <v>10</v>
      </c>
      <c r="D141" s="3">
        <v>6999</v>
      </c>
      <c r="E141" s="5">
        <f t="shared" si="12"/>
        <v>681.236</v>
      </c>
      <c r="F141" s="6">
        <f t="shared" si="13"/>
        <v>340.618</v>
      </c>
      <c r="G141" s="6">
        <f t="shared" si="14"/>
        <v>227.078666666667</v>
      </c>
    </row>
    <row r="142" spans="2:7">
      <c r="B142" s="3" t="s">
        <v>123</v>
      </c>
      <c r="C142" s="3" t="s">
        <v>10</v>
      </c>
      <c r="D142" s="3">
        <v>11999</v>
      </c>
      <c r="E142" s="5">
        <f t="shared" si="12"/>
        <v>1167.90266666667</v>
      </c>
      <c r="F142" s="6">
        <f t="shared" si="13"/>
        <v>583.951333333333</v>
      </c>
      <c r="G142" s="6">
        <f t="shared" si="14"/>
        <v>389.300888888889</v>
      </c>
    </row>
    <row r="143" spans="2:7">
      <c r="B143" s="3" t="s">
        <v>124</v>
      </c>
      <c r="C143" s="3" t="s">
        <v>10</v>
      </c>
      <c r="D143" s="3">
        <v>8999</v>
      </c>
      <c r="E143" s="5">
        <f t="shared" si="12"/>
        <v>875.902666666667</v>
      </c>
      <c r="F143" s="6">
        <f t="shared" si="13"/>
        <v>437.951333333333</v>
      </c>
      <c r="G143" s="6">
        <f t="shared" si="14"/>
        <v>291.967555555556</v>
      </c>
    </row>
    <row r="144" spans="2:7">
      <c r="B144" s="3" t="s">
        <v>125</v>
      </c>
      <c r="C144" s="3" t="s">
        <v>10</v>
      </c>
      <c r="D144" s="3">
        <v>13999</v>
      </c>
      <c r="E144" s="5">
        <f t="shared" si="12"/>
        <v>1362.56933333333</v>
      </c>
      <c r="F144" s="6">
        <f t="shared" si="13"/>
        <v>681.284666666667</v>
      </c>
      <c r="G144" s="6">
        <f t="shared" si="14"/>
        <v>454.189777777778</v>
      </c>
    </row>
    <row r="145" spans="2:7">
      <c r="B145" s="3" t="s">
        <v>126</v>
      </c>
      <c r="C145" s="3" t="s">
        <v>10</v>
      </c>
      <c r="D145" s="3">
        <v>11999</v>
      </c>
      <c r="E145" s="5">
        <f t="shared" si="12"/>
        <v>1167.90266666667</v>
      </c>
      <c r="F145" s="6">
        <f t="shared" si="13"/>
        <v>583.951333333333</v>
      </c>
      <c r="G145" s="6">
        <f t="shared" si="14"/>
        <v>389.300888888889</v>
      </c>
    </row>
    <row r="146" spans="2:7">
      <c r="B146" s="3" t="s">
        <v>127</v>
      </c>
      <c r="C146" s="3" t="s">
        <v>10</v>
      </c>
      <c r="D146" s="3">
        <v>16999</v>
      </c>
      <c r="E146" s="5">
        <f t="shared" si="12"/>
        <v>1654.56933333333</v>
      </c>
      <c r="F146" s="6">
        <f t="shared" si="13"/>
        <v>827.284666666667</v>
      </c>
      <c r="G146" s="6">
        <f t="shared" si="14"/>
        <v>551.523111111111</v>
      </c>
    </row>
    <row r="147" spans="2:7">
      <c r="B147" s="3" t="s">
        <v>128</v>
      </c>
      <c r="C147" s="3" t="s">
        <v>10</v>
      </c>
      <c r="D147" s="3">
        <v>13999</v>
      </c>
      <c r="E147" s="5">
        <f t="shared" si="12"/>
        <v>1362.56933333333</v>
      </c>
      <c r="F147" s="6">
        <f t="shared" si="13"/>
        <v>681.284666666667</v>
      </c>
      <c r="G147" s="6">
        <f t="shared" si="14"/>
        <v>454.189777777778</v>
      </c>
    </row>
    <row r="148" spans="2:7">
      <c r="B148" s="3" t="s">
        <v>129</v>
      </c>
      <c r="C148" s="3" t="s">
        <v>10</v>
      </c>
      <c r="D148" s="3">
        <v>6499</v>
      </c>
      <c r="E148" s="5">
        <f t="shared" si="12"/>
        <v>632.569333333333</v>
      </c>
      <c r="F148" s="6">
        <f t="shared" si="13"/>
        <v>316.284666666667</v>
      </c>
      <c r="G148" s="6">
        <f t="shared" si="14"/>
        <v>210.856444444444</v>
      </c>
    </row>
    <row r="149" spans="2:7">
      <c r="B149" s="3" t="s">
        <v>130</v>
      </c>
      <c r="C149" s="3" t="s">
        <v>10</v>
      </c>
      <c r="D149" s="3">
        <v>8999</v>
      </c>
      <c r="E149" s="5">
        <f t="shared" si="12"/>
        <v>875.902666666667</v>
      </c>
      <c r="F149" s="6">
        <f t="shared" si="13"/>
        <v>437.951333333333</v>
      </c>
      <c r="G149" s="6">
        <f t="shared" si="14"/>
        <v>291.967555555556</v>
      </c>
    </row>
    <row r="150" spans="2:7">
      <c r="B150" s="3"/>
      <c r="C150" s="3"/>
      <c r="D150" s="3"/>
      <c r="E150" s="3"/>
      <c r="F150" s="3"/>
      <c r="G150" s="3"/>
    </row>
    <row r="151" spans="2:7">
      <c r="B151" s="3"/>
      <c r="C151" s="3"/>
      <c r="D151" s="3"/>
      <c r="E151" s="3"/>
      <c r="F151" s="3"/>
      <c r="G151" s="3"/>
    </row>
    <row r="152" spans="2:7">
      <c r="B152" s="3"/>
      <c r="C152" s="3"/>
      <c r="D152" s="3"/>
      <c r="E152" s="3"/>
      <c r="F152" s="3"/>
      <c r="G152" s="3"/>
    </row>
    <row r="153" spans="2:7">
      <c r="B153" s="3"/>
      <c r="C153" s="3"/>
      <c r="D153" s="3"/>
      <c r="E153" s="3"/>
      <c r="F153" s="3"/>
      <c r="G153" s="3"/>
    </row>
    <row r="154" spans="2:7">
      <c r="B154" s="3"/>
      <c r="C154" s="3"/>
      <c r="D154" s="3"/>
      <c r="E154" s="3"/>
      <c r="F154" s="3"/>
      <c r="G154" s="3"/>
    </row>
    <row r="155" spans="2:7">
      <c r="B155" s="3"/>
      <c r="C155" s="3"/>
      <c r="D155" s="3"/>
      <c r="E155" s="3"/>
      <c r="F155" s="3"/>
      <c r="G155" s="3"/>
    </row>
    <row r="156" spans="2:7">
      <c r="B156" s="3"/>
      <c r="C156" s="3"/>
      <c r="D156" s="3"/>
      <c r="E156" s="3"/>
      <c r="F156" s="3"/>
      <c r="G156" s="3"/>
    </row>
    <row r="157" spans="2:7">
      <c r="B157" s="3"/>
      <c r="C157" s="3"/>
      <c r="D157" s="3"/>
      <c r="E157" s="3"/>
      <c r="F157" s="3"/>
      <c r="G157" s="3"/>
    </row>
    <row r="158" spans="2:7">
      <c r="B158" s="3"/>
      <c r="C158" s="3"/>
      <c r="D158" s="3"/>
      <c r="E158" s="3"/>
      <c r="F158" s="3"/>
      <c r="G158" s="3"/>
    </row>
    <row r="159" spans="2:7">
      <c r="B159" s="3"/>
      <c r="C159" s="3"/>
      <c r="D159" s="3"/>
      <c r="E159" s="3"/>
      <c r="F159" s="3"/>
      <c r="G159" s="3"/>
    </row>
    <row r="160" spans="2:7">
      <c r="B160" s="3"/>
      <c r="C160" s="3"/>
      <c r="D160" s="3"/>
      <c r="E160" s="3"/>
      <c r="F160" s="3"/>
      <c r="G160" s="3"/>
    </row>
    <row r="161" spans="2:7">
      <c r="B161" s="3"/>
      <c r="C161" s="3"/>
      <c r="D161" s="3"/>
      <c r="E161" s="3"/>
      <c r="F161" s="3"/>
      <c r="G161" s="3"/>
    </row>
    <row r="162" spans="2:7">
      <c r="B162" s="3"/>
      <c r="C162" s="3"/>
      <c r="D162" s="3"/>
      <c r="E162" s="3"/>
      <c r="F162" s="3"/>
      <c r="G162" s="3"/>
    </row>
    <row r="163" spans="2:7">
      <c r="B163" s="3"/>
      <c r="C163" s="3"/>
      <c r="D163" s="3"/>
      <c r="E163" s="3"/>
      <c r="F163" s="3"/>
      <c r="G163" s="3"/>
    </row>
    <row r="164" spans="2:7">
      <c r="B164" s="3"/>
      <c r="C164" s="3"/>
      <c r="D164" s="3"/>
      <c r="E164" s="3"/>
      <c r="F164" s="3"/>
      <c r="G164" s="3"/>
    </row>
    <row r="165" spans="2:7">
      <c r="B165" s="3"/>
      <c r="C165" s="3"/>
      <c r="D165" s="3"/>
      <c r="E165" s="3"/>
      <c r="F165" s="3"/>
      <c r="G165" s="3"/>
    </row>
    <row r="166" spans="2:7">
      <c r="B166" s="3"/>
      <c r="C166" s="3"/>
      <c r="D166" s="3"/>
      <c r="E166" s="3"/>
      <c r="F166" s="3"/>
      <c r="G166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chairmanv</dc:creator>
  <cp:lastModifiedBy>Access Electronics Team</cp:lastModifiedBy>
  <dcterms:created xsi:type="dcterms:W3CDTF">2026-01-05T23:13:00Z</dcterms:created>
  <dcterms:modified xsi:type="dcterms:W3CDTF">2026-01-16T10:45:02Z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B3B7919E9CA47B6C8EFA6969B26E6E44_43</vt:lpwstr>
  </property>
  <property fmtid="{D5CDD505-2E9C-101B-9397-08002B2CF9AE}" pid="3" name="KSOProductBuildVer">
    <vt:lpwstr>1033-12.1.23153.23153</vt:lpwstr>
  </property>
</Properties>
</file>